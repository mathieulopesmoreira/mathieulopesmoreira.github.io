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activeX/activeX10.xml" ContentType="application/vnd.ms-office.activeX+xml"/>
  <Override PartName="/xl/drawings/drawing4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euma\Desktop\"/>
    </mc:Choice>
  </mc:AlternateContent>
  <xr:revisionPtr revIDLastSave="0" documentId="13_ncr:1_{E2038F5E-B1C5-4536-9D36-13110A70B031}" xr6:coauthVersionLast="47" xr6:coauthVersionMax="47" xr10:uidLastSave="{00000000-0000-0000-0000-000000000000}"/>
  <bookViews>
    <workbookView xWindow="-108" yWindow="-108" windowWidth="23256" windowHeight="12576" xr2:uid="{54D2EEF9-D25C-4442-A22C-8C0921280408}"/>
  </bookViews>
  <sheets>
    <sheet name="Menu" sheetId="2" r:id="rId1"/>
    <sheet name="Tableau de bord" sheetId="1" r:id="rId2"/>
    <sheet name="Base de données" sheetId="3" r:id="rId3"/>
    <sheet name="Guide" sheetId="4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8" i="1" l="1"/>
  <c r="G69" i="1"/>
  <c r="G70" i="1"/>
  <c r="G71" i="1"/>
  <c r="G72" i="1"/>
  <c r="G73" i="1"/>
  <c r="G74" i="1"/>
  <c r="G67" i="1"/>
  <c r="E68" i="1"/>
  <c r="E69" i="1"/>
  <c r="E70" i="1"/>
  <c r="E71" i="1"/>
  <c r="E72" i="1"/>
  <c r="E73" i="1"/>
  <c r="E74" i="1"/>
  <c r="E75" i="1"/>
  <c r="E76" i="1"/>
  <c r="E67" i="1"/>
  <c r="C68" i="1"/>
  <c r="C69" i="1"/>
  <c r="C70" i="1"/>
  <c r="C71" i="1"/>
  <c r="C72" i="1"/>
  <c r="C73" i="1"/>
  <c r="C74" i="1"/>
  <c r="C75" i="1"/>
  <c r="C67" i="1"/>
  <c r="F6" i="3"/>
  <c r="G6" i="3" s="1"/>
  <c r="F7" i="3"/>
  <c r="G7" i="3" s="1"/>
  <c r="F8" i="3"/>
  <c r="G8" i="3" s="1"/>
  <c r="F9" i="3"/>
  <c r="G9" i="3" s="1"/>
  <c r="F10" i="3"/>
  <c r="G10" i="3" s="1"/>
  <c r="F11" i="3"/>
  <c r="G11" i="3" s="1"/>
  <c r="F12" i="3"/>
  <c r="G12" i="3" s="1"/>
  <c r="F13" i="3"/>
  <c r="G13" i="3" s="1"/>
  <c r="F14" i="3"/>
  <c r="G14" i="3" s="1"/>
  <c r="F15" i="3"/>
  <c r="G15" i="3" s="1"/>
  <c r="F16" i="3"/>
  <c r="G16" i="3" s="1"/>
  <c r="F17" i="3"/>
  <c r="G17" i="3" s="1"/>
  <c r="F18" i="3"/>
  <c r="G18" i="3" s="1"/>
  <c r="F19" i="3"/>
  <c r="G19" i="3" s="1"/>
  <c r="F20" i="3"/>
  <c r="G20" i="3" s="1"/>
  <c r="F21" i="3"/>
  <c r="G21" i="3" s="1"/>
  <c r="F22" i="3"/>
  <c r="G22" i="3" s="1"/>
  <c r="A74" i="1"/>
  <c r="A75" i="1"/>
  <c r="A76" i="1"/>
  <c r="A77" i="1"/>
  <c r="A78" i="1"/>
  <c r="A79" i="1"/>
  <c r="A80" i="1"/>
  <c r="A81" i="1"/>
  <c r="A73" i="1"/>
  <c r="A66" i="1"/>
  <c r="A67" i="1"/>
  <c r="A68" i="1"/>
  <c r="A69" i="1"/>
  <c r="A70" i="1"/>
  <c r="A71" i="1"/>
  <c r="A65" i="1"/>
  <c r="A60" i="1"/>
  <c r="A61" i="1"/>
  <c r="A62" i="1"/>
  <c r="A63" i="1"/>
  <c r="A59" i="1"/>
  <c r="A52" i="1"/>
  <c r="A53" i="1"/>
  <c r="A54" i="1"/>
  <c r="A55" i="1"/>
  <c r="A56" i="1"/>
  <c r="A51" i="1"/>
  <c r="C42" i="1"/>
  <c r="B42" i="1"/>
  <c r="A42" i="1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I12" i="1" l="1"/>
  <c r="I23" i="1"/>
  <c r="D9" i="1"/>
  <c r="D15" i="1"/>
  <c r="D16" i="1"/>
  <c r="D17" i="1"/>
  <c r="D18" i="1"/>
  <c r="D20" i="1"/>
  <c r="D21" i="1"/>
  <c r="D22" i="1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C49" i="1" l="1"/>
  <c r="B71" i="1"/>
  <c r="C47" i="1"/>
  <c r="B69" i="1"/>
  <c r="C44" i="1"/>
  <c r="B66" i="1"/>
  <c r="C48" i="1"/>
  <c r="B70" i="1"/>
  <c r="C45" i="1"/>
  <c r="B67" i="1"/>
  <c r="C43" i="1"/>
  <c r="B65" i="1"/>
  <c r="D8" i="1"/>
  <c r="D12" i="1"/>
  <c r="D13" i="1"/>
  <c r="D19" i="1"/>
  <c r="B68" i="1" s="1"/>
  <c r="D6" i="1"/>
  <c r="D4" i="1"/>
  <c r="D5" i="1"/>
  <c r="B46" i="1" l="1"/>
  <c r="B62" i="1"/>
  <c r="B45" i="1"/>
  <c r="B61" i="1"/>
  <c r="A45" i="1"/>
  <c r="B53" i="1"/>
  <c r="A46" i="1"/>
  <c r="B54" i="1"/>
  <c r="A44" i="1"/>
  <c r="B52" i="1"/>
  <c r="A48" i="1"/>
  <c r="B56" i="1"/>
  <c r="C25" i="1"/>
  <c r="C46" i="1"/>
  <c r="D3" i="1" l="1"/>
  <c r="D11" i="1"/>
  <c r="D7" i="1"/>
  <c r="B44" i="1" l="1"/>
  <c r="B60" i="1"/>
  <c r="A47" i="1"/>
  <c r="B55" i="1"/>
  <c r="A43" i="1"/>
  <c r="B51" i="1"/>
  <c r="A25" i="1"/>
  <c r="D10" i="1" l="1"/>
  <c r="D14" i="1"/>
  <c r="B47" i="1" l="1"/>
  <c r="B63" i="1"/>
  <c r="B43" i="1"/>
  <c r="B59" i="1"/>
  <c r="B25" i="1"/>
  <c r="F5" i="3"/>
  <c r="G5" i="3" s="1"/>
  <c r="F23" i="3"/>
  <c r="G23" i="3"/>
  <c r="F24" i="3"/>
  <c r="G24" i="3"/>
  <c r="F25" i="3"/>
  <c r="G25" i="3"/>
  <c r="F26" i="3"/>
  <c r="G26" i="3"/>
  <c r="F27" i="3"/>
  <c r="G27" i="3" s="1"/>
  <c r="F28" i="3"/>
  <c r="G28" i="3" s="1"/>
  <c r="F29" i="3"/>
  <c r="G29" i="3" s="1"/>
  <c r="F30" i="3"/>
  <c r="G30" i="3" s="1"/>
  <c r="F31" i="3"/>
  <c r="G31" i="3" s="1"/>
  <c r="F32" i="3"/>
  <c r="G32" i="3" s="1"/>
  <c r="F33" i="3"/>
  <c r="G33" i="3" s="1"/>
  <c r="F34" i="3"/>
  <c r="G34" i="3" s="1"/>
  <c r="F35" i="3"/>
  <c r="G35" i="3" s="1"/>
  <c r="F36" i="3"/>
  <c r="G36" i="3" s="1"/>
  <c r="F37" i="3"/>
  <c r="G37" i="3" s="1"/>
  <c r="F38" i="3"/>
  <c r="G38" i="3" s="1"/>
  <c r="F39" i="3"/>
  <c r="G39" i="3" s="1"/>
  <c r="F40" i="3"/>
  <c r="G40" i="3" s="1"/>
  <c r="F41" i="3"/>
  <c r="G41" i="3" s="1"/>
  <c r="F42" i="3"/>
  <c r="G42" i="3" s="1"/>
  <c r="F43" i="3"/>
  <c r="G43" i="3" s="1"/>
  <c r="F44" i="3"/>
  <c r="G44" i="3" s="1"/>
  <c r="I3" i="1"/>
  <c r="B73" i="1" s="1"/>
  <c r="I4" i="1"/>
  <c r="D68" i="1" s="1"/>
  <c r="I5" i="1"/>
  <c r="B75" i="1" s="1"/>
  <c r="I6" i="1"/>
  <c r="D70" i="1" s="1"/>
  <c r="I7" i="1"/>
  <c r="D71" i="1" s="1"/>
  <c r="I8" i="1"/>
  <c r="D72" i="1" s="1"/>
  <c r="I13" i="1"/>
  <c r="F67" i="1" s="1"/>
  <c r="I14" i="1"/>
  <c r="F68" i="1" s="1"/>
  <c r="I15" i="1"/>
  <c r="F69" i="1" s="1"/>
  <c r="I16" i="1"/>
  <c r="F70" i="1" s="1"/>
  <c r="I17" i="1"/>
  <c r="F71" i="1" s="1"/>
  <c r="I18" i="1"/>
  <c r="F72" i="1" s="1"/>
  <c r="I19" i="1"/>
  <c r="F73" i="1" s="1"/>
  <c r="I24" i="1"/>
  <c r="H67" i="1" s="1"/>
  <c r="I25" i="1"/>
  <c r="H68" i="1" s="1"/>
  <c r="I26" i="1"/>
  <c r="H69" i="1" s="1"/>
  <c r="I27" i="1"/>
  <c r="H70" i="1" s="1"/>
  <c r="I29" i="1"/>
  <c r="H72" i="1" s="1"/>
  <c r="A85" i="1" l="1"/>
  <c r="B78" i="1"/>
  <c r="B74" i="1"/>
  <c r="D69" i="1"/>
  <c r="D67" i="1"/>
  <c r="B77" i="1"/>
  <c r="B76" i="1"/>
  <c r="F2" i="3"/>
  <c r="G2" i="3"/>
  <c r="F3" i="3"/>
  <c r="G3" i="3"/>
  <c r="F4" i="3"/>
  <c r="G4" i="3"/>
  <c r="I9" i="1"/>
  <c r="D73" i="1" s="1"/>
  <c r="I10" i="1"/>
  <c r="D74" i="1" s="1"/>
  <c r="I11" i="1"/>
  <c r="D75" i="1" s="1"/>
  <c r="I20" i="1"/>
  <c r="F74" i="1" s="1"/>
  <c r="I21" i="1"/>
  <c r="F75" i="1" s="1"/>
  <c r="I22" i="1"/>
  <c r="F76" i="1" s="1"/>
  <c r="I28" i="1"/>
  <c r="H71" i="1" s="1"/>
  <c r="I30" i="1"/>
  <c r="H73" i="1" s="1"/>
  <c r="I31" i="1"/>
  <c r="H74" i="1" s="1"/>
  <c r="C29" i="1" l="1"/>
  <c r="C34" i="1" s="1"/>
  <c r="C35" i="1" s="1"/>
  <c r="B81" i="1"/>
  <c r="B80" i="1"/>
  <c r="B79" i="1"/>
  <c r="B29" i="1"/>
  <c r="B34" i="1" s="1"/>
  <c r="B35" i="1" s="1"/>
  <c r="A29" i="1"/>
  <c r="B85" i="1" l="1"/>
  <c r="A34" i="1"/>
  <c r="G35" i="1" l="1"/>
  <c r="A35" i="1"/>
  <c r="D34" i="1"/>
</calcChain>
</file>

<file path=xl/sharedStrings.xml><?xml version="1.0" encoding="utf-8"?>
<sst xmlns="http://schemas.openxmlformats.org/spreadsheetml/2006/main" count="110" uniqueCount="82">
  <si>
    <t>SEMESTRE 1</t>
  </si>
  <si>
    <t>SEMESTRE 2</t>
  </si>
  <si>
    <t>Compétence</t>
  </si>
  <si>
    <t>Module</t>
  </si>
  <si>
    <t>Coefficient</t>
  </si>
  <si>
    <t xml:space="preserve">Moyenne </t>
  </si>
  <si>
    <t>PPP1</t>
  </si>
  <si>
    <t>PPP2</t>
  </si>
  <si>
    <t>Tableur et Reporting</t>
  </si>
  <si>
    <t>Bases de la programmation 2</t>
  </si>
  <si>
    <t>Bases de la programmation 1</t>
  </si>
  <si>
    <t>Programmation statistique</t>
  </si>
  <si>
    <t>Reporting et datavisualisation</t>
  </si>
  <si>
    <t>Statistique descriptive 1</t>
  </si>
  <si>
    <t>Probabilités 1</t>
  </si>
  <si>
    <t>Statistique descriptive 2</t>
  </si>
  <si>
    <t>Statistique inférentielle</t>
  </si>
  <si>
    <t>Probabilités 2</t>
  </si>
  <si>
    <t>Initiation à l'anglais de spécialité</t>
  </si>
  <si>
    <t xml:space="preserve">Découverte des données de l’environnement entrepreneurial et économique </t>
  </si>
  <si>
    <t>Approfondissement de l'anglais de spécialité</t>
  </si>
  <si>
    <t>Compétence 1</t>
  </si>
  <si>
    <t>Compétence 2</t>
  </si>
  <si>
    <t>Compétence 3</t>
  </si>
  <si>
    <t>Communication, sémiologie et argumentation</t>
  </si>
  <si>
    <t>Etude des données de l'environnement entrepreneurial et économique</t>
  </si>
  <si>
    <t>SAE - Construction et présentation d’indicateurs de performance</t>
  </si>
  <si>
    <t>1ère ANNÉE</t>
  </si>
  <si>
    <t>Moyenne générale</t>
  </si>
  <si>
    <t>Référence</t>
  </si>
  <si>
    <t>Semestre</t>
  </si>
  <si>
    <t>Note</t>
  </si>
  <si>
    <t>Note pondérée</t>
  </si>
  <si>
    <t>Compétence 1 :
Traiter des données à des fins décisionnelles</t>
  </si>
  <si>
    <t>Bases de données relationnelles 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</si>
  <si>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</si>
  <si>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</si>
  <si>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</si>
  <si>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</si>
  <si>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</si>
  <si>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</si>
  <si>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Communication de l'information et recherche documentaire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</si>
  <si>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</si>
  <si>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</si>
  <si>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</si>
  <si>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Bases de données relationnelles 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</si>
  <si>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</si>
  <si>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</si>
  <si>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</si>
  <si>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</si>
  <si>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Bases de l'algèbre</t>
  </si>
  <si>
    <t>SAÉ - Estimation par échantillonnage</t>
  </si>
  <si>
    <t>SAÉ - Régression sur des données réelles</t>
  </si>
  <si>
    <t>Compétence 3 : Valoriser une production dans un contexte professionnel</t>
  </si>
  <si>
    <t xml:space="preserve">Compétence </t>
  </si>
  <si>
    <t xml:space="preserve">Coefficient </t>
  </si>
  <si>
    <t>Appréciation sur l'année scolaire</t>
  </si>
  <si>
    <t>Bienvenue sur notre application de gestion des notes en BUT SD 1ère année</t>
  </si>
  <si>
    <t xml:space="preserve">Ici vous pouvez : </t>
  </si>
  <si>
    <t xml:space="preserve"> - ajoutez une note en précisant le semestre,  la compétence et le module</t>
  </si>
  <si>
    <t xml:space="preserve"> - modifier une note en précisant le semestre la compétence et le module</t>
  </si>
  <si>
    <t xml:space="preserve"> - consulter  votre tableau de bord dynamique selon vos notes</t>
  </si>
  <si>
    <t xml:space="preserve"> - contrôler si votre passage en seconde année est favorable</t>
  </si>
  <si>
    <t>L'application comporte les deux formulaires suivants :</t>
  </si>
  <si>
    <t>Le premier sert à insérer une note qui sera mise dans la feuille "base de données" puis analyser dans le tableau de bord</t>
  </si>
  <si>
    <t>Le deuxième sert à modifier une note déjà saisie dans la base de données</t>
  </si>
  <si>
    <t>indiquez le semestre de la note</t>
  </si>
  <si>
    <t>indiquez le semestre évalué pour cette note</t>
  </si>
  <si>
    <t>indiquez le bloc de la note</t>
  </si>
  <si>
    <t>indiquez le bloc de la matière</t>
  </si>
  <si>
    <t>indiquez la matière de la note</t>
  </si>
  <si>
    <t>indiquez la matière correspondante</t>
  </si>
  <si>
    <t xml:space="preserve">indiquez la valeur de la note à modifier </t>
  </si>
  <si>
    <t>écrire la note à saisir</t>
  </si>
  <si>
    <t>Ferme le formulaire</t>
  </si>
  <si>
    <t>Valide la note saisie</t>
  </si>
  <si>
    <t>Donne la référence de la note et demande par quoi la modifier, puis, valide la modification</t>
  </si>
  <si>
    <t>Annexe :</t>
  </si>
  <si>
    <t xml:space="preserve"> - La note ne peut pas être entrer si toute les modalités ne sont pas remplies</t>
  </si>
  <si>
    <t xml:space="preserve"> - La note est à saisir avec une virgule et non un point</t>
  </si>
  <si>
    <t xml:space="preserve"> - Vous pouvez accéder aux notes en cliquant sur le bouton "accéder à la base de données"</t>
  </si>
  <si>
    <t xml:space="preserve"> - Vous pouvez noter si vous avez une ABI via le bouton "ABI ?" dans la feuille "Tableau de bord"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</si>
</sst>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rgb="FF000000"/>
      <name val="Times New Roman"/>
      <family val="1"/>
    </font>
    <font>
      <b/>
      <sz val="14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8CBAD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9" tint="0.39997558519241921"/>
        <bgColor theme="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wrapText="1"/>
    </xf>
    <xf numFmtId="2" fontId="0" fillId="0" borderId="7" xfId="0" applyNumberFormat="1" applyBorder="1"/>
    <xf numFmtId="0" fontId="5" fillId="5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4" fillId="5" borderId="2" xfId="0" applyFont="1" applyFill="1" applyBorder="1" applyAlignment="1">
      <alignment horizontal="center" wrapText="1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2" fillId="0" borderId="2" xfId="0" applyFont="1" applyBorder="1"/>
    <xf numFmtId="0" fontId="0" fillId="0" borderId="2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8" fillId="7" borderId="2" xfId="0" applyFont="1" applyFill="1" applyBorder="1" applyAlignment="1">
      <alignment vertical="center"/>
    </xf>
    <xf numFmtId="0" fontId="8" fillId="12" borderId="2" xfId="0" applyFont="1" applyFill="1" applyBorder="1" applyAlignment="1">
      <alignment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vertical="center"/>
    </xf>
    <xf numFmtId="0" fontId="8" fillId="10" borderId="10" xfId="0" applyFont="1" applyFill="1" applyBorder="1" applyAlignment="1">
      <alignment horizontal="center" vertical="center"/>
    </xf>
    <xf numFmtId="0" fontId="8" fillId="13" borderId="10" xfId="0" applyFont="1" applyFill="1" applyBorder="1" applyAlignment="1">
      <alignment vertical="center" wrapText="1"/>
    </xf>
    <xf numFmtId="0" fontId="8" fillId="13" borderId="10" xfId="0" applyFont="1" applyFill="1" applyBorder="1" applyAlignment="1">
      <alignment horizontal="center" vertical="center" wrapText="1"/>
    </xf>
    <xf numFmtId="0" fontId="8" fillId="13" borderId="14" xfId="0" applyFont="1" applyFill="1" applyBorder="1" applyAlignment="1">
      <alignment vertical="center" wrapText="1"/>
    </xf>
    <xf numFmtId="0" fontId="8" fillId="7" borderId="15" xfId="0" applyFont="1" applyFill="1" applyBorder="1" applyAlignment="1">
      <alignment vertical="center" wrapText="1"/>
    </xf>
    <xf numFmtId="0" fontId="8" fillId="7" borderId="10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 wrapText="1"/>
    </xf>
    <xf numFmtId="0" fontId="8" fillId="7" borderId="5" xfId="0" applyFont="1" applyFill="1" applyBorder="1" applyAlignment="1">
      <alignment vertical="center"/>
    </xf>
    <xf numFmtId="0" fontId="8" fillId="14" borderId="0" xfId="0" applyFont="1" applyFill="1" applyAlignment="1">
      <alignment vertical="center"/>
    </xf>
    <xf numFmtId="0" fontId="8" fillId="14" borderId="8" xfId="0" applyFont="1" applyFill="1" applyBorder="1" applyAlignment="1">
      <alignment vertical="center"/>
    </xf>
    <xf numFmtId="0" fontId="8" fillId="14" borderId="8" xfId="0" applyFont="1" applyFill="1" applyBorder="1" applyAlignment="1">
      <alignment horizontal="center" vertical="center"/>
    </xf>
    <xf numFmtId="0" fontId="7" fillId="14" borderId="18" xfId="0" applyFont="1" applyFill="1" applyBorder="1" applyAlignment="1">
      <alignment horizontal="left" vertical="center" wrapText="1"/>
    </xf>
    <xf numFmtId="0" fontId="5" fillId="3" borderId="19" xfId="0" applyFont="1" applyFill="1" applyBorder="1" applyAlignment="1">
      <alignment vertical="center" wrapText="1"/>
    </xf>
    <xf numFmtId="0" fontId="5" fillId="5" borderId="19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 wrapText="1"/>
    </xf>
    <xf numFmtId="0" fontId="0" fillId="14" borderId="0" xfId="0" applyFill="1"/>
    <xf numFmtId="0" fontId="4" fillId="15" borderId="0" xfId="0" applyFont="1" applyFill="1" applyAlignment="1">
      <alignment wrapText="1"/>
    </xf>
    <xf numFmtId="0" fontId="8" fillId="14" borderId="0" xfId="0" applyFont="1" applyFill="1" applyAlignment="1">
      <alignment horizontal="center" vertical="center" wrapText="1"/>
    </xf>
    <xf numFmtId="0" fontId="8" fillId="8" borderId="17" xfId="0" applyFont="1" applyFill="1" applyBorder="1" applyAlignment="1">
      <alignment vertical="center"/>
    </xf>
    <xf numFmtId="0" fontId="8" fillId="8" borderId="17" xfId="0" applyFont="1" applyFill="1" applyBorder="1" applyAlignment="1">
      <alignment horizontal="center" vertical="center"/>
    </xf>
    <xf numFmtId="0" fontId="8" fillId="16" borderId="20" xfId="0" applyFont="1" applyFill="1" applyBorder="1" applyAlignment="1">
      <alignment vertical="center" wrapText="1"/>
    </xf>
    <xf numFmtId="0" fontId="8" fillId="16" borderId="20" xfId="0" applyFont="1" applyFill="1" applyBorder="1" applyAlignment="1">
      <alignment horizontal="center" vertical="center" wrapText="1"/>
    </xf>
    <xf numFmtId="0" fontId="8" fillId="16" borderId="10" xfId="0" applyFont="1" applyFill="1" applyBorder="1" applyAlignment="1">
      <alignment vertical="center" wrapText="1"/>
    </xf>
    <xf numFmtId="0" fontId="8" fillId="16" borderId="10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vertical="center"/>
    </xf>
    <xf numFmtId="0" fontId="8" fillId="7" borderId="10" xfId="0" applyFont="1" applyFill="1" applyBorder="1" applyAlignment="1">
      <alignment vertical="center" wrapText="1"/>
    </xf>
    <xf numFmtId="0" fontId="8" fillId="7" borderId="10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 wrapText="1"/>
    </xf>
    <xf numFmtId="0" fontId="5" fillId="17" borderId="2" xfId="0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wrapText="1"/>
    </xf>
    <xf numFmtId="0" fontId="4" fillId="14" borderId="7" xfId="0" applyFont="1" applyFill="1" applyBorder="1" applyAlignment="1">
      <alignment horizontal="center" wrapText="1"/>
    </xf>
    <xf numFmtId="0" fontId="4" fillId="14" borderId="8" xfId="0" applyFont="1" applyFill="1" applyBorder="1" applyAlignment="1">
      <alignment horizontal="center" wrapText="1"/>
    </xf>
    <xf numFmtId="2" fontId="0" fillId="14" borderId="7" xfId="0" applyNumberFormat="1" applyFill="1" applyBorder="1"/>
    <xf numFmtId="0" fontId="10" fillId="14" borderId="0" xfId="0" applyFont="1" applyFill="1"/>
    <xf numFmtId="0" fontId="9" fillId="14" borderId="0" xfId="0" applyFont="1" applyFill="1"/>
    <xf numFmtId="0" fontId="0" fillId="14" borderId="24" xfId="0" applyFill="1" applyBorder="1"/>
    <xf numFmtId="0" fontId="0" fillId="14" borderId="25" xfId="0" applyFill="1" applyBorder="1"/>
    <xf numFmtId="0" fontId="0" fillId="14" borderId="26" xfId="0" applyFill="1" applyBorder="1"/>
    <xf numFmtId="2" fontId="0" fillId="14" borderId="0" xfId="0" applyNumberFormat="1" applyFill="1" applyAlignment="1">
      <alignment horizontal="center" vertical="center"/>
    </xf>
    <xf numFmtId="0" fontId="4" fillId="14" borderId="0" xfId="0" applyFont="1" applyFill="1" applyAlignment="1">
      <alignment horizontal="center" wrapText="1"/>
    </xf>
    <xf numFmtId="2" fontId="0" fillId="14" borderId="0" xfId="0" applyNumberFormat="1" applyFill="1"/>
    <xf numFmtId="2" fontId="0" fillId="14" borderId="0" xfId="0" applyNumberFormat="1" applyFill="1" applyAlignment="1">
      <alignment horizontal="center"/>
    </xf>
    <xf numFmtId="0" fontId="0" fillId="14" borderId="0" xfId="0" applyFill="1" applyAlignment="1">
      <alignment vertical="center"/>
    </xf>
    <xf numFmtId="0" fontId="0" fillId="14" borderId="0" xfId="0" applyFill="1" applyProtection="1">
      <protection locked="0"/>
    </xf>
    <xf numFmtId="0" fontId="0" fillId="14" borderId="0" xfId="0" applyFill="1" applyAlignment="1">
      <alignment horizontal="center"/>
    </xf>
    <xf numFmtId="0" fontId="0" fillId="0" borderId="0" xfId="0" applyProtection="1">
      <protection locked="0" hidden="1"/>
    </xf>
    <xf numFmtId="0" fontId="0" fillId="0" borderId="24" xfId="0" applyBorder="1" applyProtection="1">
      <protection locked="0" hidden="1"/>
    </xf>
    <xf numFmtId="0" fontId="2" fillId="18" borderId="2" xfId="0" applyFont="1" applyFill="1" applyBorder="1" applyAlignment="1">
      <alignment horizontal="center"/>
    </xf>
    <xf numFmtId="0" fontId="0" fillId="14" borderId="2" xfId="0" applyFill="1" applyBorder="1"/>
    <xf numFmtId="0" fontId="11" fillId="14" borderId="0" xfId="0" applyFont="1" applyFill="1" applyAlignment="1">
      <alignment horizontal="center" vertical="center"/>
    </xf>
    <xf numFmtId="0" fontId="1" fillId="6" borderId="2" xfId="0" applyFont="1" applyFill="1" applyBorder="1"/>
    <xf numFmtId="2" fontId="6" fillId="11" borderId="2" xfId="0" applyNumberFormat="1" applyFont="1" applyFill="1" applyBorder="1" applyAlignment="1">
      <alignment horizontal="center" vertical="center"/>
    </xf>
    <xf numFmtId="2" fontId="6" fillId="15" borderId="2" xfId="0" applyNumberFormat="1" applyFont="1" applyFill="1" applyBorder="1" applyAlignment="1">
      <alignment horizontal="center" vertical="center"/>
    </xf>
    <xf numFmtId="2" fontId="6" fillId="9" borderId="2" xfId="0" applyNumberFormat="1" applyFont="1" applyFill="1" applyBorder="1" applyAlignment="1">
      <alignment horizontal="center" vertical="center"/>
    </xf>
    <xf numFmtId="0" fontId="1" fillId="6" borderId="27" xfId="0" applyFont="1" applyFill="1" applyBorder="1"/>
    <xf numFmtId="0" fontId="0" fillId="19" borderId="0" xfId="0" applyFill="1"/>
    <xf numFmtId="0" fontId="0" fillId="19" borderId="0" xfId="0" applyFill="1" applyAlignment="1">
      <alignment horizontal="center"/>
    </xf>
    <xf numFmtId="0" fontId="0" fillId="19" borderId="0" xfId="0" applyFill="1" applyProtection="1">
      <protection locked="0" hidden="1"/>
    </xf>
    <xf numFmtId="0" fontId="12" fillId="14" borderId="0" xfId="0" applyFont="1" applyFill="1"/>
    <xf numFmtId="0" fontId="0" fillId="14" borderId="29" xfId="0" applyFill="1" applyBorder="1" applyAlignment="1">
      <alignment vertical="top"/>
    </xf>
    <xf numFmtId="0" fontId="0" fillId="14" borderId="30" xfId="0" applyFill="1" applyBorder="1"/>
    <xf numFmtId="0" fontId="0" fillId="14" borderId="0" xfId="0" applyFill="1" applyAlignment="1">
      <alignment vertical="top"/>
    </xf>
    <xf numFmtId="0" fontId="0" fillId="14" borderId="32" xfId="0" applyFill="1" applyBorder="1"/>
    <xf numFmtId="0" fontId="14" fillId="14" borderId="31" xfId="0" applyFont="1" applyFill="1" applyBorder="1" applyAlignment="1">
      <alignment vertical="top"/>
    </xf>
    <xf numFmtId="0" fontId="14" fillId="14" borderId="0" xfId="0" applyFont="1" applyFill="1" applyAlignment="1">
      <alignment vertical="top"/>
    </xf>
    <xf numFmtId="0" fontId="14" fillId="14" borderId="32" xfId="0" applyFont="1" applyFill="1" applyBorder="1" applyAlignment="1">
      <alignment vertical="top"/>
    </xf>
    <xf numFmtId="0" fontId="0" fillId="14" borderId="35" xfId="0" applyFill="1" applyBorder="1"/>
    <xf numFmtId="0" fontId="15" fillId="14" borderId="0" xfId="0" applyFont="1" applyFill="1"/>
    <xf numFmtId="0" fontId="16" fillId="14" borderId="0" xfId="0" applyFont="1" applyFill="1"/>
    <xf numFmtId="0" fontId="17" fillId="14" borderId="0" xfId="0" applyFont="1" applyFill="1"/>
    <xf numFmtId="0" fontId="18" fillId="14" borderId="0" xfId="0" applyFont="1" applyFill="1"/>
    <xf numFmtId="0" fontId="19" fillId="14" borderId="0" xfId="0" applyFont="1" applyFill="1"/>
    <xf numFmtId="2" fontId="19" fillId="14" borderId="0" xfId="0" applyNumberFormat="1" applyFont="1" applyFill="1"/>
    <xf numFmtId="0" fontId="3" fillId="0" borderId="1" xfId="0" applyFont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7" fillId="10" borderId="9" xfId="0" applyFont="1" applyFill="1" applyBorder="1" applyAlignment="1">
      <alignment horizontal="left" vertical="center" wrapText="1"/>
    </xf>
    <xf numFmtId="0" fontId="7" fillId="10" borderId="11" xfId="0" applyFont="1" applyFill="1" applyBorder="1" applyAlignment="1">
      <alignment horizontal="left" vertical="center" wrapText="1"/>
    </xf>
    <xf numFmtId="0" fontId="7" fillId="10" borderId="12" xfId="0" applyFont="1" applyFill="1" applyBorder="1" applyAlignment="1">
      <alignment horizontal="left" vertical="center" wrapText="1"/>
    </xf>
    <xf numFmtId="0" fontId="7" fillId="13" borderId="13" xfId="0" applyFont="1" applyFill="1" applyBorder="1" applyAlignment="1">
      <alignment horizontal="left" vertical="center" wrapText="1"/>
    </xf>
    <xf numFmtId="0" fontId="7" fillId="13" borderId="11" xfId="0" applyFont="1" applyFill="1" applyBorder="1" applyAlignment="1">
      <alignment horizontal="left" vertical="center" wrapText="1"/>
    </xf>
    <xf numFmtId="0" fontId="7" fillId="13" borderId="12" xfId="0" applyFont="1" applyFill="1" applyBorder="1" applyAlignment="1">
      <alignment horizontal="left" vertical="center" wrapText="1"/>
    </xf>
    <xf numFmtId="0" fontId="7" fillId="12" borderId="2" xfId="0" applyFont="1" applyFill="1" applyBorder="1" applyAlignment="1">
      <alignment horizontal="left" vertical="center" wrapText="1"/>
    </xf>
    <xf numFmtId="0" fontId="7" fillId="8" borderId="13" xfId="0" applyFont="1" applyFill="1" applyBorder="1" applyAlignment="1">
      <alignment horizontal="left" vertical="center" wrapText="1"/>
    </xf>
    <xf numFmtId="0" fontId="7" fillId="8" borderId="11" xfId="0" applyFont="1" applyFill="1" applyBorder="1" applyAlignment="1">
      <alignment horizontal="left" vertical="center" wrapText="1"/>
    </xf>
    <xf numFmtId="0" fontId="7" fillId="16" borderId="3" xfId="0" applyFont="1" applyFill="1" applyBorder="1" applyAlignment="1">
      <alignment horizontal="left" vertical="center" wrapText="1"/>
    </xf>
    <xf numFmtId="0" fontId="7" fillId="16" borderId="21" xfId="0" applyFont="1" applyFill="1" applyBorder="1" applyAlignment="1">
      <alignment horizontal="left" vertical="center" wrapText="1"/>
    </xf>
    <xf numFmtId="0" fontId="7" fillId="16" borderId="22" xfId="0" applyFont="1" applyFill="1" applyBorder="1" applyAlignment="1">
      <alignment horizontal="left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14" borderId="28" xfId="0" applyFont="1" applyFill="1" applyBorder="1" applyAlignment="1">
      <alignment horizontal="center"/>
    </xf>
    <xf numFmtId="0" fontId="12" fillId="14" borderId="29" xfId="0" applyFont="1" applyFill="1" applyBorder="1" applyAlignment="1">
      <alignment horizontal="center"/>
    </xf>
    <xf numFmtId="0" fontId="12" fillId="14" borderId="30" xfId="0" applyFont="1" applyFill="1" applyBorder="1" applyAlignment="1">
      <alignment horizontal="center"/>
    </xf>
    <xf numFmtId="0" fontId="12" fillId="14" borderId="31" xfId="0" applyFont="1" applyFill="1" applyBorder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4" borderId="32" xfId="0" applyFont="1" applyFill="1" applyBorder="1" applyAlignment="1">
      <alignment horizontal="center"/>
    </xf>
    <xf numFmtId="0" fontId="12" fillId="14" borderId="33" xfId="0" applyFont="1" applyFill="1" applyBorder="1" applyAlignment="1">
      <alignment horizontal="center"/>
    </xf>
    <xf numFmtId="0" fontId="12" fillId="14" borderId="34" xfId="0" applyFont="1" applyFill="1" applyBorder="1" applyAlignment="1">
      <alignment horizontal="center"/>
    </xf>
    <xf numFmtId="0" fontId="12" fillId="14" borderId="35" xfId="0" applyFont="1" applyFill="1" applyBorder="1" applyAlignment="1">
      <alignment horizontal="center"/>
    </xf>
    <xf numFmtId="0" fontId="16" fillId="14" borderId="0" xfId="0" applyFont="1" applyFill="1" applyAlignment="1">
      <alignment horizontal="center" vertical="top" wrapText="1"/>
    </xf>
    <xf numFmtId="0" fontId="13" fillId="14" borderId="28" xfId="0" applyFont="1" applyFill="1" applyBorder="1" applyAlignment="1">
      <alignment horizontal="left" vertical="top" wrapText="1"/>
    </xf>
    <xf numFmtId="0" fontId="13" fillId="14" borderId="29" xfId="0" applyFont="1" applyFill="1" applyBorder="1" applyAlignment="1">
      <alignment horizontal="left" vertical="top" wrapText="1"/>
    </xf>
    <xf numFmtId="0" fontId="13" fillId="14" borderId="31" xfId="0" applyFont="1" applyFill="1" applyBorder="1" applyAlignment="1">
      <alignment horizontal="left" vertical="top" wrapText="1"/>
    </xf>
    <xf numFmtId="0" fontId="13" fillId="14" borderId="0" xfId="0" applyFont="1" applyFill="1" applyAlignment="1">
      <alignment horizontal="left" vertical="top" wrapText="1"/>
    </xf>
    <xf numFmtId="0" fontId="0" fillId="14" borderId="33" xfId="0" applyFill="1" applyBorder="1" applyAlignment="1">
      <alignment horizontal="left" vertical="top"/>
    </xf>
    <xf numFmtId="0" fontId="0" fillId="14" borderId="34" xfId="0" applyFill="1" applyBorder="1" applyAlignment="1">
      <alignment horizontal="left" vertical="top"/>
    </xf>
    <xf numFmtId="0" fontId="0" fillId="14" borderId="0" xfId="0" applyFill="1" applyAlignment="1">
      <alignment horizontal="left"/>
    </xf>
    <xf numFmtId="0" fontId="14" fillId="14" borderId="3" xfId="0" applyFont="1" applyFill="1" applyBorder="1" applyAlignment="1">
      <alignment horizontal="left" wrapText="1"/>
    </xf>
    <xf numFmtId="0" fontId="14" fillId="14" borderId="7" xfId="0" applyFont="1" applyFill="1" applyBorder="1" applyAlignment="1">
      <alignment horizontal="left" wrapText="1"/>
    </xf>
    <xf numFmtId="0" fontId="14" fillId="14" borderId="36" xfId="0" applyFont="1" applyFill="1" applyBorder="1" applyAlignment="1">
      <alignment horizontal="left" wrapText="1"/>
    </xf>
    <xf numFmtId="0" fontId="14" fillId="14" borderId="21" xfId="0" applyFont="1" applyFill="1" applyBorder="1" applyAlignment="1">
      <alignment horizontal="left" wrapText="1"/>
    </xf>
    <xf numFmtId="0" fontId="14" fillId="14" borderId="0" xfId="0" applyFont="1" applyFill="1" applyAlignment="1">
      <alignment horizontal="left" wrapText="1"/>
    </xf>
    <xf numFmtId="0" fontId="14" fillId="14" borderId="37" xfId="0" applyFont="1" applyFill="1" applyBorder="1" applyAlignment="1">
      <alignment horizontal="left" wrapText="1"/>
    </xf>
    <xf numFmtId="0" fontId="14" fillId="14" borderId="22" xfId="0" applyFont="1" applyFill="1" applyBorder="1" applyAlignment="1">
      <alignment horizontal="left" wrapText="1"/>
    </xf>
    <xf numFmtId="0" fontId="14" fillId="14" borderId="1" xfId="0" applyFont="1" applyFill="1" applyBorder="1" applyAlignment="1">
      <alignment horizontal="left" wrapText="1"/>
    </xf>
    <xf numFmtId="0" fontId="14" fillId="14" borderId="38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vertical="top" wrapText="1"/>
    </xf>
    <xf numFmtId="0" fontId="14" fillId="14" borderId="7" xfId="0" applyFont="1" applyFill="1" applyBorder="1" applyAlignment="1">
      <alignment horizontal="left" vertical="top" wrapText="1"/>
    </xf>
    <xf numFmtId="0" fontId="14" fillId="14" borderId="36" xfId="0" applyFont="1" applyFill="1" applyBorder="1" applyAlignment="1">
      <alignment horizontal="left" vertical="top" wrapText="1"/>
    </xf>
    <xf numFmtId="0" fontId="14" fillId="14" borderId="21" xfId="0" applyFont="1" applyFill="1" applyBorder="1" applyAlignment="1">
      <alignment horizontal="left" vertical="top" wrapText="1"/>
    </xf>
    <xf numFmtId="0" fontId="14" fillId="14" borderId="0" xfId="0" applyFont="1" applyFill="1" applyAlignment="1">
      <alignment horizontal="left" vertical="top" wrapText="1"/>
    </xf>
    <xf numFmtId="0" fontId="14" fillId="14" borderId="37" xfId="0" applyFont="1" applyFill="1" applyBorder="1" applyAlignment="1">
      <alignment horizontal="left" vertical="top" wrapText="1"/>
    </xf>
    <xf numFmtId="0" fontId="14" fillId="14" borderId="22" xfId="0" applyFont="1" applyFill="1" applyBorder="1" applyAlignment="1">
      <alignment horizontal="left" vertical="top" wrapText="1"/>
    </xf>
    <xf numFmtId="0" fontId="14" fillId="14" borderId="1" xfId="0" applyFont="1" applyFill="1" applyBorder="1" applyAlignment="1">
      <alignment horizontal="left" vertical="top" wrapText="1"/>
    </xf>
    <xf numFmtId="0" fontId="14" fillId="14" borderId="38" xfId="0" applyFont="1" applyFill="1" applyBorder="1" applyAlignment="1">
      <alignment horizontal="left" vertical="top" wrapText="1"/>
    </xf>
  </cellXfs>
  <cellStyles count="1">
    <cellStyle name="Normal" xfId="0" builtinId="0"/>
  </cellStyles>
  <dxfs count="11">
    <dxf>
      <font>
        <color auto="1"/>
      </font>
      <fill>
        <patternFill>
          <bgColor rgb="FF258337"/>
        </patternFill>
      </fill>
    </dxf>
    <dxf>
      <font>
        <color auto="1"/>
      </font>
      <fill>
        <patternFill>
          <bgColor rgb="FF2B9940"/>
        </patternFill>
      </fill>
    </dxf>
    <dxf>
      <fill>
        <patternFill>
          <bgColor rgb="FFFF8300"/>
        </patternFill>
      </fill>
    </dxf>
    <dxf>
      <fill>
        <patternFill>
          <bgColor rgb="FFFF0000"/>
        </patternFill>
      </fill>
    </dxf>
    <dxf>
      <fill>
        <patternFill>
          <bgColor rgb="FF39FF14"/>
        </patternFill>
      </fill>
    </dxf>
    <dxf>
      <fill>
        <patternFill>
          <bgColor rgb="FF39FF14"/>
        </patternFill>
      </fill>
    </dxf>
    <dxf>
      <fill>
        <patternFill>
          <bgColor rgb="FFFF0000"/>
        </patternFill>
      </fill>
    </dxf>
    <dxf>
      <fill>
        <patternFill>
          <bgColor rgb="FFFF8300"/>
        </patternFill>
      </fill>
    </dxf>
    <dxf>
      <fill>
        <patternFill>
          <bgColor rgb="FF39FF14"/>
        </patternFill>
      </fill>
    </dxf>
    <dxf>
      <fill>
        <patternFill>
          <bgColor rgb="FFFF0000"/>
        </patternFill>
      </fill>
    </dxf>
    <dxf>
      <fill>
        <patternFill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Diiférentes moyennes dans la 1ère compétence</a:t>
            </a:r>
          </a:p>
        </c:rich>
      </c:tx>
      <c:layout>
        <c:manualLayout>
          <c:xMode val="edge"/>
          <c:yMode val="edge"/>
          <c:x val="9.5607957146610856E-2"/>
          <c:y val="2.7888449131395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bord'!$A$51:$A$56</c:f>
              <c:strCache>
                <c:ptCount val="6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</c:strCache>
            </c:strRef>
          </c:cat>
          <c:val>
            <c:numRef>
              <c:f>'Tableau de bord'!$B$51:$B$56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1-493E-B045-455CF07B5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70750127"/>
        <c:axId val="1470747247"/>
      </c:barChart>
      <c:catAx>
        <c:axId val="1470750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0747247"/>
        <c:crosses val="autoZero"/>
        <c:auto val="1"/>
        <c:lblAlgn val="ctr"/>
        <c:lblOffset val="100"/>
        <c:noMultiLvlLbl val="0"/>
      </c:catAx>
      <c:valAx>
        <c:axId val="147074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7075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Diiférentes moyennes dans la 2ème compétence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bord'!$A$59:$A$63</c:f>
              <c:strCache>
                <c:ptCount val="5"/>
                <c:pt idx="0">
                  <c:v>Statistique descriptive 1</c:v>
                </c:pt>
                <c:pt idx="1">
                  <c:v>Probabilités 1</c:v>
                </c:pt>
                <c:pt idx="2">
                  <c:v>Mathématiques - analyse</c:v>
                </c:pt>
                <c:pt idx="3">
                  <c:v>PPP1</c:v>
                </c:pt>
                <c:pt idx="4">
                  <c:v>SAÉ - Préparation et synthèse d'un tableau de données en vue d'une analyse exploratoire simple</c:v>
                </c:pt>
              </c:strCache>
            </c:strRef>
          </c:cat>
          <c:val>
            <c:numRef>
              <c:f>'Tableau de bord'!$B$59:$B$63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F-4C06-A29B-5F60FBF8E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9776879"/>
        <c:axId val="1589777359"/>
      </c:barChart>
      <c:catAx>
        <c:axId val="1589776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9777359"/>
        <c:crosses val="autoZero"/>
        <c:auto val="1"/>
        <c:lblAlgn val="ctr"/>
        <c:lblOffset val="100"/>
        <c:noMultiLvlLbl val="0"/>
      </c:catAx>
      <c:valAx>
        <c:axId val="1589777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977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Diiférentes moyennes dans la 3ème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bord'!$A$65:$A$71</c:f>
              <c:strCache>
                <c:ptCount val="7"/>
                <c:pt idx="0">
                  <c:v>Initiation à l'anglais de spécialité</c:v>
                </c:pt>
                <c:pt idx="1">
                  <c:v>Communication de l'information et recherche documentaire</c:v>
                </c:pt>
                <c:pt idx="2">
                  <c:v>Découverte des données de l’environnement entrepreneurial et économique </c:v>
                </c:pt>
                <c:pt idx="3">
                  <c:v>PPP1</c:v>
                </c:pt>
                <c:pt idx="4">
                  <c:v>SAÉ - Apprendre en situation la production de données en entreprise</c:v>
                </c:pt>
                <c:pt idx="5">
                  <c:v>SAÉ - Présentation en anglais d'un territoire économique et culturel</c:v>
                </c:pt>
                <c:pt idx="6">
                  <c:v>SAÉ - Mise en oeuvre d'une enquête</c:v>
                </c:pt>
              </c:strCache>
            </c:strRef>
          </c:cat>
          <c:val>
            <c:numRef>
              <c:f>'Tableau de bord'!$B$65:$B$71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8-4A74-9C58-517A516BB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9669919"/>
        <c:axId val="1589671359"/>
      </c:barChart>
      <c:catAx>
        <c:axId val="15896699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9671359"/>
        <c:crosses val="autoZero"/>
        <c:auto val="1"/>
        <c:lblAlgn val="ctr"/>
        <c:lblOffset val="100"/>
        <c:noMultiLvlLbl val="0"/>
      </c:catAx>
      <c:valAx>
        <c:axId val="158967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9669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Comparaison des moyennes pour chaque compétence</a:t>
            </a:r>
          </a:p>
        </c:rich>
      </c:tx>
      <c:layout>
        <c:manualLayout>
          <c:xMode val="edge"/>
          <c:yMode val="edge"/>
          <c:x val="0.15559281042159073"/>
          <c:y val="2.7888449131395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'Tableau de bord'!$A$23:$C$24</c:f>
              <c:multiLvlStrCache>
                <c:ptCount val="3"/>
                <c:lvl>
                  <c:pt idx="0">
                    <c:v>Compétence 1</c:v>
                  </c:pt>
                  <c:pt idx="1">
                    <c:v>Compétence 2</c:v>
                  </c:pt>
                  <c:pt idx="2">
                    <c:v>Compétence 3</c:v>
                  </c:pt>
                </c:lvl>
                <c:lvl>
                  <c:pt idx="0">
                    <c:v>SEMESTRE 1</c:v>
                  </c:pt>
                </c:lvl>
              </c:multiLvlStrCache>
            </c:multiLvlStrRef>
          </c:cat>
          <c:val>
            <c:numRef>
              <c:f>'Tableau de bord'!$A$25:$C$25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D-43D9-93F1-7F8F9C9A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826207"/>
        <c:axId val="1202252543"/>
      </c:barChart>
      <c:catAx>
        <c:axId val="1193826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2252543"/>
        <c:crosses val="autoZero"/>
        <c:auto val="1"/>
        <c:lblAlgn val="ctr"/>
        <c:lblOffset val="100"/>
        <c:noMultiLvlLbl val="0"/>
      </c:catAx>
      <c:valAx>
        <c:axId val="120225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3826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Comparaison des moyennes pour chaque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'Tableau de bord'!$A$27:$C$28</c:f>
              <c:multiLvlStrCache>
                <c:ptCount val="3"/>
                <c:lvl>
                  <c:pt idx="0">
                    <c:v>Compétence 1</c:v>
                  </c:pt>
                  <c:pt idx="1">
                    <c:v>Compétence 2</c:v>
                  </c:pt>
                  <c:pt idx="2">
                    <c:v>Compétence 3</c:v>
                  </c:pt>
                </c:lvl>
                <c:lvl>
                  <c:pt idx="0">
                    <c:v>SEMESTRE 2</c:v>
                  </c:pt>
                </c:lvl>
              </c:multiLvlStrCache>
            </c:multiLvlStrRef>
          </c:cat>
          <c:val>
            <c:numRef>
              <c:f>'Tableau de bord'!$A$29:$C$29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E-4772-94FD-B798B4E02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5656352"/>
        <c:axId val="745656832"/>
      </c:barChart>
      <c:catAx>
        <c:axId val="7456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5656832"/>
        <c:crosses val="autoZero"/>
        <c:auto val="1"/>
        <c:lblAlgn val="ctr"/>
        <c:lblOffset val="100"/>
        <c:noMultiLvlLbl val="0"/>
      </c:catAx>
      <c:valAx>
        <c:axId val="7456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565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Diiférentes moyennes dans la 1ère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bord'!$C$67:$C$75</c:f>
              <c:strCache>
                <c:ptCount val="9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  <c:pt idx="5">
                  <c:v>SAÉ - Conception et implémentation d'une base de données</c:v>
                </c:pt>
                <c:pt idx="6">
                  <c:v>SAÉ - Datavisualisation</c:v>
                </c:pt>
                <c:pt idx="7">
                  <c:v>SAÉ - Analyse de données, reporting et datavisualisation</c:v>
                </c:pt>
                <c:pt idx="8">
                  <c:v>SAÉ - Portfolio</c:v>
                </c:pt>
              </c:strCache>
            </c:strRef>
          </c:cat>
          <c:val>
            <c:numRef>
              <c:f>'Tableau de bord'!$D$67:$D$75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A-4C80-B7EA-B3F8A96E2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20193584"/>
        <c:axId val="720198384"/>
      </c:barChart>
      <c:catAx>
        <c:axId val="720193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0198384"/>
        <c:crosses val="autoZero"/>
        <c:auto val="1"/>
        <c:lblAlgn val="ctr"/>
        <c:lblOffset val="100"/>
        <c:noMultiLvlLbl val="0"/>
      </c:catAx>
      <c:valAx>
        <c:axId val="72019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019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Diiférentes moyennes dans la 2ème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bord'!$E$67:$E$76</c:f>
              <c:strCache>
                <c:ptCount val="10"/>
                <c:pt idx="0">
                  <c:v>Statistique descriptive 2</c:v>
                </c:pt>
                <c:pt idx="1">
                  <c:v>Probabilités 2</c:v>
                </c:pt>
                <c:pt idx="2">
                  <c:v>Bases de l'algèbre</c:v>
                </c:pt>
                <c:pt idx="3">
                  <c:v>Statistique inférentielle</c:v>
                </c:pt>
                <c:pt idx="4">
                  <c:v>PPP2</c:v>
                </c:pt>
                <c:pt idx="5">
                  <c:v>SAÉ - Estimation par échantillonnage</c:v>
                </c:pt>
                <c:pt idx="6">
                  <c:v>SAÉ - Régression sur des données réelles</c:v>
                </c:pt>
                <c:pt idx="7">
                  <c:v>SAÉ - Datavisualisation</c:v>
                </c:pt>
                <c:pt idx="8">
                  <c:v>SAÉ - Analyse de données, reporting et datavisualisation</c:v>
                </c:pt>
                <c:pt idx="9">
                  <c:v>SAÉ - Portfolio</c:v>
                </c:pt>
              </c:strCache>
            </c:strRef>
          </c:cat>
          <c:val>
            <c:numRef>
              <c:f>'Tableau de bord'!$F$67:$F$76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2C9-B1C6-F504D74AA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4609536"/>
        <c:axId val="1564602816"/>
      </c:barChart>
      <c:catAx>
        <c:axId val="1564609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4602816"/>
        <c:crosses val="autoZero"/>
        <c:auto val="1"/>
        <c:lblAlgn val="ctr"/>
        <c:lblOffset val="100"/>
        <c:noMultiLvlLbl val="0"/>
      </c:catAx>
      <c:valAx>
        <c:axId val="156460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460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Diiférentes moyennes dans la 3ème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bord'!$G$67:$G$74</c:f>
              <c:strCache>
                <c:ptCount val="8"/>
                <c:pt idx="0">
                  <c:v>PPP2</c:v>
                </c:pt>
                <c:pt idx="1">
                  <c:v>Approfondissement de l'anglais de spécialité</c:v>
                </c:pt>
                <c:pt idx="2">
                  <c:v>Communication, sémiologie et argumentation</c:v>
                </c:pt>
                <c:pt idx="3">
                  <c:v>Etude des données de l'environnement entrepreneurial et économique</c:v>
                </c:pt>
                <c:pt idx="4">
                  <c:v>SAÉ - Analyse de données, reporting et datavisualisation</c:v>
                </c:pt>
                <c:pt idx="5">
                  <c:v>SAE - Construction et présentation d’indicateurs de performance</c:v>
                </c:pt>
                <c:pt idx="6">
                  <c:v>SAÉ - Datavisualisation</c:v>
                </c:pt>
                <c:pt idx="7">
                  <c:v>SAÉ - Portfolio</c:v>
                </c:pt>
              </c:strCache>
            </c:strRef>
          </c:cat>
          <c:val>
            <c:numRef>
              <c:f>'Tableau de bord'!$H$67:$H$74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1C-447A-909B-67E02C6D6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53731184"/>
        <c:axId val="1456737440"/>
      </c:barChart>
      <c:catAx>
        <c:axId val="1453731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6737440"/>
        <c:crosses val="autoZero"/>
        <c:auto val="1"/>
        <c:lblAlgn val="ctr"/>
        <c:lblOffset val="100"/>
        <c:noMultiLvlLbl val="0"/>
      </c:catAx>
      <c:valAx>
        <c:axId val="145673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373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Comparaison des moyennes dans chaque compétence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SEMESTRE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'Tableau de bord'!$A$25:$C$25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1-4FF5-8076-33D37C295135}"/>
            </c:ext>
          </c:extLst>
        </c:ser>
        <c:ser>
          <c:idx val="1"/>
          <c:order val="1"/>
          <c:tx>
            <c:v>SEMESTRE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'Tableau de bord'!$A$29:$C$29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1-4FF5-8076-33D37C29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6910816"/>
        <c:axId val="1806916576"/>
      </c:barChart>
      <c:catAx>
        <c:axId val="180691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6916576"/>
        <c:crosses val="autoZero"/>
        <c:auto val="1"/>
        <c:lblAlgn val="ctr"/>
        <c:lblOffset val="100"/>
        <c:noMultiLvlLbl val="0"/>
      </c:catAx>
      <c:valAx>
        <c:axId val="18069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691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Comparaison</a:t>
            </a:r>
            <a:r>
              <a:rPr lang="fr-FR" baseline="0"/>
              <a:t> des moyennes dans chaque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'Tableau de bord'!$A$84:$B$84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'Tableau de bord'!$A$85:$B$85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C-4FD5-AE86-3876825FA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746336"/>
        <c:axId val="1550747296"/>
      </c:barChart>
      <c:catAx>
        <c:axId val="155074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0747296"/>
        <c:crosses val="autoZero"/>
        <c:auto val="1"/>
        <c:lblAlgn val="ctr"/>
        <c:lblOffset val="100"/>
        <c:noMultiLvlLbl val="0"/>
      </c:catAx>
      <c:valAx>
        <c:axId val="15507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07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480060</xdr:colOff>
          <xdr:row>17</xdr:row>
          <xdr:rowOff>22860</xdr:rowOff>
        </xdr:from>
        <xdr:to>
          <xdr:col>8</xdr:col>
          <xdr:colOff>647700</xdr:colOff>
          <xdr:row>27</xdr:row>
          <xdr:rowOff>99060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480060</xdr:colOff>
          <xdr:row>40</xdr:row>
          <xdr:rowOff>167640</xdr:rowOff>
        </xdr:from>
        <xdr:to>
          <xdr:col>8</xdr:col>
          <xdr:colOff>647700</xdr:colOff>
          <xdr:row>51</xdr:row>
          <xdr:rowOff>60960</xdr:rowOff>
        </xdr:to>
        <xdr:sp macro="" textlink="">
          <xdr:nvSpPr>
            <xdr:cNvPr id="3075" name="AccederBDD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28</xdr:row>
          <xdr:rowOff>167640</xdr:rowOff>
        </xdr:from>
        <xdr:to>
          <xdr:col>20</xdr:col>
          <xdr:colOff>22860</xdr:colOff>
          <xdr:row>38</xdr:row>
          <xdr:rowOff>152400</xdr:rowOff>
        </xdr:to>
        <xdr:sp macro="" textlink="">
          <xdr:nvSpPr>
            <xdr:cNvPr id="3076" name="AccederGuid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480060</xdr:colOff>
          <xdr:row>28</xdr:row>
          <xdr:rowOff>167640</xdr:rowOff>
        </xdr:from>
        <xdr:to>
          <xdr:col>8</xdr:col>
          <xdr:colOff>647700</xdr:colOff>
          <xdr:row>38</xdr:row>
          <xdr:rowOff>152400</xdr:rowOff>
        </xdr:to>
        <xdr:sp macro="" textlink="">
          <xdr:nvSpPr>
            <xdr:cNvPr id="3077" name="AccederNot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40</xdr:row>
          <xdr:rowOff>167640</xdr:rowOff>
        </xdr:from>
        <xdr:to>
          <xdr:col>20</xdr:col>
          <xdr:colOff>22860</xdr:colOff>
          <xdr:row>51</xdr:row>
          <xdr:rowOff>60960</xdr:rowOff>
        </xdr:to>
        <xdr:sp macro="" textlink="">
          <xdr:nvSpPr>
            <xdr:cNvPr id="3079" name="btn_effacer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17</xdr:row>
          <xdr:rowOff>22860</xdr:rowOff>
        </xdr:from>
        <xdr:to>
          <xdr:col>20</xdr:col>
          <xdr:colOff>22860</xdr:colOff>
          <xdr:row>27</xdr:row>
          <xdr:rowOff>99060</xdr:rowOff>
        </xdr:to>
        <xdr:sp macro="" textlink="">
          <xdr:nvSpPr>
            <xdr:cNvPr id="3080" name="btn_modif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319397</xdr:colOff>
      <xdr:row>1</xdr:row>
      <xdr:rowOff>121564</xdr:rowOff>
    </xdr:from>
    <xdr:to>
      <xdr:col>9</xdr:col>
      <xdr:colOff>571500</xdr:colOff>
      <xdr:row>13</xdr:row>
      <xdr:rowOff>180009</xdr:rowOff>
    </xdr:to>
    <xdr:pic>
      <xdr:nvPicPr>
        <xdr:cNvPr id="2" name="Image 1" descr="Une image contenant texte, Police, Graphique, affiche&#10;&#10;Description générée automatiquement">
          <a:extLst>
            <a:ext uri="{FF2B5EF4-FFF2-40B4-BE49-F238E27FC236}">
              <a16:creationId xmlns:a16="http://schemas.microsoft.com/office/drawing/2014/main" id="{F70FC521-635C-707A-379C-6F86D8610C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397" y="312064"/>
          <a:ext cx="7453003" cy="2390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742950</xdr:colOff>
      <xdr:row>0</xdr:row>
      <xdr:rowOff>181888</xdr:rowOff>
    </xdr:from>
    <xdr:to>
      <xdr:col>16</xdr:col>
      <xdr:colOff>190500</xdr:colOff>
      <xdr:row>11</xdr:row>
      <xdr:rowOff>175309</xdr:rowOff>
    </xdr:to>
    <xdr:pic>
      <xdr:nvPicPr>
        <xdr:cNvPr id="3" name="Image 2" descr="Une image contenant obscurité, lune, capture d’écran, nuit&#10;&#10;Description générée automatiquement">
          <a:extLst>
            <a:ext uri="{FF2B5EF4-FFF2-40B4-BE49-F238E27FC236}">
              <a16:creationId xmlns:a16="http://schemas.microsoft.com/office/drawing/2014/main" id="{142D9595-42D7-CFDB-3045-5885702C2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81888"/>
          <a:ext cx="4248150" cy="21270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704850</xdr:colOff>
      <xdr:row>0</xdr:row>
      <xdr:rowOff>76200</xdr:rowOff>
    </xdr:from>
    <xdr:to>
      <xdr:col>20</xdr:col>
      <xdr:colOff>533400</xdr:colOff>
      <xdr:row>16</xdr:row>
      <xdr:rowOff>107194</xdr:rowOff>
    </xdr:to>
    <xdr:pic>
      <xdr:nvPicPr>
        <xdr:cNvPr id="4" name="Image 3" descr="Une image contenant texte, Graphique, Police, graphisme&#10;&#10;Description générée automatiquement">
          <a:extLst>
            <a:ext uri="{FF2B5EF4-FFF2-40B4-BE49-F238E27FC236}">
              <a16:creationId xmlns:a16="http://schemas.microsoft.com/office/drawing/2014/main" id="{E774F52E-DA76-A69E-437A-4E8DBDE17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76200"/>
          <a:ext cx="3028950" cy="31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31</xdr:row>
      <xdr:rowOff>38100</xdr:rowOff>
    </xdr:from>
    <xdr:to>
      <xdr:col>14</xdr:col>
      <xdr:colOff>438150</xdr:colOff>
      <xdr:row>36</xdr:row>
      <xdr:rowOff>57150</xdr:rowOff>
    </xdr:to>
    <xdr:pic>
      <xdr:nvPicPr>
        <xdr:cNvPr id="6" name="Image 5" descr="Guide - Icônes éducation gratuites">
          <a:extLst>
            <a:ext uri="{FF2B5EF4-FFF2-40B4-BE49-F238E27FC236}">
              <a16:creationId xmlns:a16="http://schemas.microsoft.com/office/drawing/2014/main" id="{FF4E12AD-11BA-3C17-4437-B93DBBC37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1800" y="6019800"/>
          <a:ext cx="1047750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438151</xdr:colOff>
      <xdr:row>20</xdr:row>
      <xdr:rowOff>171450</xdr:rowOff>
    </xdr:from>
    <xdr:to>
      <xdr:col>14</xdr:col>
      <xdr:colOff>243188</xdr:colOff>
      <xdr:row>23</xdr:row>
      <xdr:rowOff>144779</xdr:rowOff>
    </xdr:to>
    <xdr:pic>
      <xdr:nvPicPr>
        <xdr:cNvPr id="7" name="Image 6" descr="Éditer - Icônes modifier les outils gratuites">
          <a:extLst>
            <a:ext uri="{FF2B5EF4-FFF2-40B4-BE49-F238E27FC236}">
              <a16:creationId xmlns:a16="http://schemas.microsoft.com/office/drawing/2014/main" id="{C3A8498B-BD90-2BC3-4D3D-2D7757CBF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1" y="4019550"/>
          <a:ext cx="605137" cy="5448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76201</xdr:colOff>
      <xdr:row>43</xdr:row>
      <xdr:rowOff>187960</xdr:rowOff>
    </xdr:from>
    <xdr:to>
      <xdr:col>14</xdr:col>
      <xdr:colOff>95251</xdr:colOff>
      <xdr:row>48</xdr:row>
      <xdr:rowOff>0</xdr:rowOff>
    </xdr:to>
    <xdr:pic>
      <xdr:nvPicPr>
        <xdr:cNvPr id="9" name="Image 8" descr="Effacer - Icônes flèches gratuites">
          <a:extLst>
            <a:ext uri="{FF2B5EF4-FFF2-40B4-BE49-F238E27FC236}">
              <a16:creationId xmlns:a16="http://schemas.microsoft.com/office/drawing/2014/main" id="{C73ACA11-B7C5-0991-8CA9-FF860660E0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1" y="8493760"/>
          <a:ext cx="819150" cy="764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762000</xdr:colOff>
      <xdr:row>32</xdr:row>
      <xdr:rowOff>5102</xdr:rowOff>
    </xdr:from>
    <xdr:to>
      <xdr:col>2</xdr:col>
      <xdr:colOff>704850</xdr:colOff>
      <xdr:row>35</xdr:row>
      <xdr:rowOff>114300</xdr:rowOff>
    </xdr:to>
    <xdr:pic>
      <xdr:nvPicPr>
        <xdr:cNvPr id="10" name="Image 9" descr="Tableau de bord - Icônes électronique gratuites">
          <a:extLst>
            <a:ext uri="{FF2B5EF4-FFF2-40B4-BE49-F238E27FC236}">
              <a16:creationId xmlns:a16="http://schemas.microsoft.com/office/drawing/2014/main" id="{04723F42-63B3-BD58-35E9-3AEF91B2C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6177302"/>
          <a:ext cx="742950" cy="7187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704850</xdr:colOff>
      <xdr:row>44</xdr:row>
      <xdr:rowOff>44112</xdr:rowOff>
    </xdr:from>
    <xdr:to>
      <xdr:col>2</xdr:col>
      <xdr:colOff>571500</xdr:colOff>
      <xdr:row>47</xdr:row>
      <xdr:rowOff>57149</xdr:rowOff>
    </xdr:to>
    <xdr:pic>
      <xdr:nvPicPr>
        <xdr:cNvPr id="11" name="Image 10" descr="Base de données - Téléchargement icônes gratuites">
          <a:extLst>
            <a:ext uri="{FF2B5EF4-FFF2-40B4-BE49-F238E27FC236}">
              <a16:creationId xmlns:a16="http://schemas.microsoft.com/office/drawing/2014/main" id="{2D6A99C9-BA67-B818-5A9F-CFCB09917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8540412"/>
          <a:ext cx="666750" cy="584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19051</xdr:colOff>
      <xdr:row>19</xdr:row>
      <xdr:rowOff>114300</xdr:rowOff>
    </xdr:from>
    <xdr:to>
      <xdr:col>3</xdr:col>
      <xdr:colOff>141229</xdr:colOff>
      <xdr:row>24</xdr:row>
      <xdr:rowOff>57150</xdr:rowOff>
    </xdr:to>
    <xdr:pic>
      <xdr:nvPicPr>
        <xdr:cNvPr id="12" name="Image 11" descr="Ordinateur dispositif matériel saisie - Icônes Science et technologie">
          <a:extLst>
            <a:ext uri="{FF2B5EF4-FFF2-40B4-BE49-F238E27FC236}">
              <a16:creationId xmlns:a16="http://schemas.microsoft.com/office/drawing/2014/main" id="{0587D871-99D2-2DD2-AAF0-8F4D27E05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1" y="3771900"/>
          <a:ext cx="922278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33</xdr:row>
          <xdr:rowOff>15240</xdr:rowOff>
        </xdr:from>
        <xdr:to>
          <xdr:col>5</xdr:col>
          <xdr:colOff>1539240</xdr:colOff>
          <xdr:row>35</xdr:row>
          <xdr:rowOff>53340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297180</xdr:colOff>
          <xdr:row>31</xdr:row>
          <xdr:rowOff>167640</xdr:rowOff>
        </xdr:from>
        <xdr:to>
          <xdr:col>9</xdr:col>
          <xdr:colOff>68580</xdr:colOff>
          <xdr:row>36</xdr:row>
          <xdr:rowOff>121920</xdr:rowOff>
        </xdr:to>
        <xdr:sp macro="" textlink="">
          <xdr:nvSpPr>
            <xdr:cNvPr id="4098" name="AccederMenu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332013</xdr:colOff>
      <xdr:row>49</xdr:row>
      <xdr:rowOff>195943</xdr:rowOff>
    </xdr:from>
    <xdr:to>
      <xdr:col>1</xdr:col>
      <xdr:colOff>2498270</xdr:colOff>
      <xdr:row>60</xdr:row>
      <xdr:rowOff>185057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3FBFBDE-E64F-CCAD-B93A-DA87F23785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2803070</xdr:colOff>
      <xdr:row>49</xdr:row>
      <xdr:rowOff>152399</xdr:rowOff>
    </xdr:from>
    <xdr:to>
      <xdr:col>5</xdr:col>
      <xdr:colOff>146956</xdr:colOff>
      <xdr:row>60</xdr:row>
      <xdr:rowOff>141513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5EADDF3-E031-504B-03A6-6C1F1F60C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493320</xdr:colOff>
      <xdr:row>49</xdr:row>
      <xdr:rowOff>148441</xdr:rowOff>
    </xdr:from>
    <xdr:to>
      <xdr:col>6</xdr:col>
      <xdr:colOff>3236520</xdr:colOff>
      <xdr:row>60</xdr:row>
      <xdr:rowOff>137555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1046234-CC51-BEDB-2468-0D8FE8DB91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3445823</xdr:colOff>
      <xdr:row>49</xdr:row>
      <xdr:rowOff>170214</xdr:rowOff>
    </xdr:from>
    <xdr:to>
      <xdr:col>10</xdr:col>
      <xdr:colOff>775855</xdr:colOff>
      <xdr:row>60</xdr:row>
      <xdr:rowOff>159328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4BE03E7-7E9B-797D-D675-EBB91E45B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24</xdr:row>
          <xdr:rowOff>15240</xdr:rowOff>
        </xdr:from>
        <xdr:to>
          <xdr:col>4</xdr:col>
          <xdr:colOff>464820</xdr:colOff>
          <xdr:row>29</xdr:row>
          <xdr:rowOff>175260</xdr:rowOff>
        </xdr:to>
        <xdr:sp macro="" textlink="">
          <xdr:nvSpPr>
            <xdr:cNvPr id="4102" name="btn_abi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3131128</xdr:colOff>
      <xdr:row>44</xdr:row>
      <xdr:rowOff>124691</xdr:rowOff>
    </xdr:from>
    <xdr:to>
      <xdr:col>6</xdr:col>
      <xdr:colOff>3990110</xdr:colOff>
      <xdr:row>46</xdr:row>
      <xdr:rowOff>235527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56F6AD63-6611-2FBF-B98F-CAF5EA2686BA}"/>
            </a:ext>
          </a:extLst>
        </xdr:cNvPr>
        <xdr:cNvSpPr txBox="1"/>
      </xdr:nvSpPr>
      <xdr:spPr>
        <a:xfrm>
          <a:off x="5527964" y="9615055"/>
          <a:ext cx="9892146" cy="6095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kern="1200"/>
            <a:t>Les différents graphiques</a:t>
          </a:r>
          <a:r>
            <a:rPr lang="fr-FR" sz="2800" kern="1200" baseline="0"/>
            <a:t> représentants les résultats au semestre 1</a:t>
          </a:r>
          <a:endParaRPr lang="fr-FR" sz="2800" kern="1200"/>
        </a:p>
      </xdr:txBody>
    </xdr:sp>
    <xdr:clientData/>
  </xdr:twoCellAnchor>
  <xdr:twoCellAnchor>
    <xdr:from>
      <xdr:col>6</xdr:col>
      <xdr:colOff>3435927</xdr:colOff>
      <xdr:row>66</xdr:row>
      <xdr:rowOff>83125</xdr:rowOff>
    </xdr:from>
    <xdr:to>
      <xdr:col>11</xdr:col>
      <xdr:colOff>0</xdr:colOff>
      <xdr:row>77</xdr:row>
      <xdr:rowOff>83125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7A1E560-520F-9D47-A796-9DB6DCC4FE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3186545</xdr:colOff>
      <xdr:row>62</xdr:row>
      <xdr:rowOff>69273</xdr:rowOff>
    </xdr:from>
    <xdr:to>
      <xdr:col>6</xdr:col>
      <xdr:colOff>4045527</xdr:colOff>
      <xdr:row>64</xdr:row>
      <xdr:rowOff>180108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3F5778C7-DBA6-47CE-A77F-64BEF793AD33}"/>
            </a:ext>
          </a:extLst>
        </xdr:cNvPr>
        <xdr:cNvSpPr txBox="1"/>
      </xdr:nvSpPr>
      <xdr:spPr>
        <a:xfrm>
          <a:off x="5583381" y="14048509"/>
          <a:ext cx="9892146" cy="6095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kern="1200"/>
            <a:t>Les différents graphiques</a:t>
          </a:r>
          <a:r>
            <a:rPr lang="fr-FR" sz="2800" kern="1200" baseline="0"/>
            <a:t> représentants les résultats au semestre 2</a:t>
          </a:r>
          <a:endParaRPr lang="fr-FR" sz="2800" kern="1200"/>
        </a:p>
      </xdr:txBody>
    </xdr:sp>
    <xdr:clientData/>
  </xdr:twoCellAnchor>
  <xdr:twoCellAnchor>
    <xdr:from>
      <xdr:col>0</xdr:col>
      <xdr:colOff>297872</xdr:colOff>
      <xdr:row>66</xdr:row>
      <xdr:rowOff>110836</xdr:rowOff>
    </xdr:from>
    <xdr:to>
      <xdr:col>1</xdr:col>
      <xdr:colOff>2473036</xdr:colOff>
      <xdr:row>77</xdr:row>
      <xdr:rowOff>110836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6113D336-AF51-F2B7-09FC-19D3D871F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2750127</xdr:colOff>
      <xdr:row>66</xdr:row>
      <xdr:rowOff>83127</xdr:rowOff>
    </xdr:from>
    <xdr:to>
      <xdr:col>5</xdr:col>
      <xdr:colOff>117763</xdr:colOff>
      <xdr:row>77</xdr:row>
      <xdr:rowOff>83127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8B146361-A033-05EF-1AD9-F862DA73C2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353291</xdr:colOff>
      <xdr:row>66</xdr:row>
      <xdr:rowOff>69272</xdr:rowOff>
    </xdr:from>
    <xdr:to>
      <xdr:col>6</xdr:col>
      <xdr:colOff>3096491</xdr:colOff>
      <xdr:row>77</xdr:row>
      <xdr:rowOff>69272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6B9F46AD-C067-CDFA-68E7-AB8508ED53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2552700</xdr:colOff>
      <xdr:row>78</xdr:row>
      <xdr:rowOff>228600</xdr:rowOff>
    </xdr:from>
    <xdr:to>
      <xdr:col>7</xdr:col>
      <xdr:colOff>285750</xdr:colOff>
      <xdr:row>81</xdr:row>
      <xdr:rowOff>133350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6A56145F-08FE-4BC4-AFDF-E9CDF5FB20E3}"/>
            </a:ext>
          </a:extLst>
        </xdr:cNvPr>
        <xdr:cNvSpPr txBox="1"/>
      </xdr:nvSpPr>
      <xdr:spPr>
        <a:xfrm>
          <a:off x="4953000" y="18326100"/>
          <a:ext cx="1097280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kern="1200"/>
            <a:t>Les différents graphiques</a:t>
          </a:r>
          <a:r>
            <a:rPr lang="fr-FR" sz="2800" kern="1200" baseline="0"/>
            <a:t> représentants les résultats au total dans l'année</a:t>
          </a:r>
          <a:endParaRPr lang="fr-FR" sz="2800" kern="1200"/>
        </a:p>
      </xdr:txBody>
    </xdr:sp>
    <xdr:clientData/>
  </xdr:twoCellAnchor>
  <xdr:twoCellAnchor>
    <xdr:from>
      <xdr:col>1</xdr:col>
      <xdr:colOff>3122222</xdr:colOff>
      <xdr:row>82</xdr:row>
      <xdr:rowOff>108857</xdr:rowOff>
    </xdr:from>
    <xdr:to>
      <xdr:col>5</xdr:col>
      <xdr:colOff>476003</xdr:colOff>
      <xdr:row>93</xdr:row>
      <xdr:rowOff>97972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1362A100-BF30-7DA0-7751-129241B12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1170710</xdr:colOff>
      <xdr:row>82</xdr:row>
      <xdr:rowOff>138543</xdr:rowOff>
    </xdr:from>
    <xdr:to>
      <xdr:col>6</xdr:col>
      <xdr:colOff>3913910</xdr:colOff>
      <xdr:row>93</xdr:row>
      <xdr:rowOff>138543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EC9B783B-17A9-E94B-0875-A00AF102D5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91440</xdr:colOff>
          <xdr:row>0</xdr:row>
          <xdr:rowOff>60960</xdr:rowOff>
        </xdr:from>
        <xdr:to>
          <xdr:col>8</xdr:col>
          <xdr:colOff>1531620</xdr:colOff>
          <xdr:row>4</xdr:row>
          <xdr:rowOff>22860</xdr:rowOff>
        </xdr:to>
        <xdr:sp macro="" textlink="">
          <xdr:nvSpPr>
            <xdr:cNvPr id="7169" name="AccederMenu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304802</xdr:colOff>
      <xdr:row>20</xdr:row>
      <xdr:rowOff>10656</xdr:rowOff>
    </xdr:from>
    <xdr:to>
      <xdr:col>18</xdr:col>
      <xdr:colOff>76200</xdr:colOff>
      <xdr:row>52</xdr:row>
      <xdr:rowOff>49362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D44AF33E-89B3-42AC-ECD5-CF546BCC8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2" y="5516106"/>
          <a:ext cx="4571998" cy="6134706"/>
        </a:xfrm>
        <a:prstGeom prst="rect">
          <a:avLst/>
        </a:prstGeom>
      </xdr:spPr>
    </xdr:pic>
    <xdr:clientData/>
  </xdr:twoCellAnchor>
  <xdr:twoCellAnchor editAs="oneCell">
    <xdr:from>
      <xdr:col>1</xdr:col>
      <xdr:colOff>332510</xdr:colOff>
      <xdr:row>21</xdr:row>
      <xdr:rowOff>138545</xdr:rowOff>
    </xdr:from>
    <xdr:to>
      <xdr:col>6</xdr:col>
      <xdr:colOff>734290</xdr:colOff>
      <xdr:row>54</xdr:row>
      <xdr:rowOff>27088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2D866C6-C48A-A773-0928-797877A48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2219" y="5777345"/>
          <a:ext cx="4197926" cy="6039961"/>
        </a:xfrm>
        <a:prstGeom prst="rect">
          <a:avLst/>
        </a:prstGeom>
      </xdr:spPr>
    </xdr:pic>
    <xdr:clientData/>
  </xdr:twoCellAnchor>
  <xdr:twoCellAnchor>
    <xdr:from>
      <xdr:col>5</xdr:col>
      <xdr:colOff>707571</xdr:colOff>
      <xdr:row>30</xdr:row>
      <xdr:rowOff>122464</xdr:rowOff>
    </xdr:from>
    <xdr:to>
      <xdr:col>7</xdr:col>
      <xdr:colOff>623205</xdr:colOff>
      <xdr:row>30</xdr:row>
      <xdr:rowOff>122465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C81490B-8880-4A9D-843C-54811D57706C}"/>
            </a:ext>
          </a:extLst>
        </xdr:cNvPr>
        <xdr:cNvCxnSpPr/>
      </xdr:nvCxnSpPr>
      <xdr:spPr>
        <a:xfrm flipH="1">
          <a:off x="4517571" y="7452904"/>
          <a:ext cx="150059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723900</xdr:colOff>
      <xdr:row>34</xdr:row>
      <xdr:rowOff>70756</xdr:rowOff>
    </xdr:from>
    <xdr:to>
      <xdr:col>7</xdr:col>
      <xdr:colOff>639534</xdr:colOff>
      <xdr:row>34</xdr:row>
      <xdr:rowOff>70757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EE098E3C-1286-480F-8A61-9EF19CED61C6}"/>
            </a:ext>
          </a:extLst>
        </xdr:cNvPr>
        <xdr:cNvCxnSpPr/>
      </xdr:nvCxnSpPr>
      <xdr:spPr>
        <a:xfrm flipH="1">
          <a:off x="4533900" y="8193676"/>
          <a:ext cx="150059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740228</xdr:colOff>
      <xdr:row>38</xdr:row>
      <xdr:rowOff>46263</xdr:rowOff>
    </xdr:from>
    <xdr:to>
      <xdr:col>7</xdr:col>
      <xdr:colOff>655862</xdr:colOff>
      <xdr:row>38</xdr:row>
      <xdr:rowOff>46264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CF1BDCB2-FFA8-4A34-A1C2-DCDB29650A6C}"/>
            </a:ext>
          </a:extLst>
        </xdr:cNvPr>
        <xdr:cNvCxnSpPr/>
      </xdr:nvCxnSpPr>
      <xdr:spPr>
        <a:xfrm flipH="1">
          <a:off x="4550228" y="8961663"/>
          <a:ext cx="150059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715735</xdr:colOff>
      <xdr:row>41</xdr:row>
      <xdr:rowOff>185057</xdr:rowOff>
    </xdr:from>
    <xdr:to>
      <xdr:col>7</xdr:col>
      <xdr:colOff>631369</xdr:colOff>
      <xdr:row>41</xdr:row>
      <xdr:rowOff>185058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567F14A8-AC48-47B9-A0B8-32C967BAAE8F}"/>
            </a:ext>
          </a:extLst>
        </xdr:cNvPr>
        <xdr:cNvCxnSpPr/>
      </xdr:nvCxnSpPr>
      <xdr:spPr>
        <a:xfrm flipH="1">
          <a:off x="4525735" y="9694817"/>
          <a:ext cx="150059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394607</xdr:colOff>
      <xdr:row>49</xdr:row>
      <xdr:rowOff>176893</xdr:rowOff>
    </xdr:from>
    <xdr:to>
      <xdr:col>2</xdr:col>
      <xdr:colOff>394607</xdr:colOff>
      <xdr:row>54</xdr:row>
      <xdr:rowOff>122464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F93D677-7E4B-4BB9-B3F0-4EDF8C1EAA19}"/>
            </a:ext>
          </a:extLst>
        </xdr:cNvPr>
        <xdr:cNvCxnSpPr/>
      </xdr:nvCxnSpPr>
      <xdr:spPr>
        <a:xfrm flipV="1">
          <a:off x="1827167" y="11164933"/>
          <a:ext cx="0" cy="8599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503464</xdr:colOff>
      <xdr:row>50</xdr:row>
      <xdr:rowOff>0</xdr:rowOff>
    </xdr:from>
    <xdr:to>
      <xdr:col>5</xdr:col>
      <xdr:colOff>503464</xdr:colOff>
      <xdr:row>54</xdr:row>
      <xdr:rowOff>136071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98228B18-D9B4-4991-9A77-3001BBE0951C}"/>
            </a:ext>
          </a:extLst>
        </xdr:cNvPr>
        <xdr:cNvCxnSpPr/>
      </xdr:nvCxnSpPr>
      <xdr:spPr>
        <a:xfrm flipV="1">
          <a:off x="4313464" y="11170920"/>
          <a:ext cx="0" cy="8675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27214</xdr:colOff>
      <xdr:row>36</xdr:row>
      <xdr:rowOff>54429</xdr:rowOff>
    </xdr:from>
    <xdr:to>
      <xdr:col>18</xdr:col>
      <xdr:colOff>718455</xdr:colOff>
      <xdr:row>36</xdr:row>
      <xdr:rowOff>54430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F8903E6-10D2-48B9-A1C9-5C83E039D275}"/>
            </a:ext>
          </a:extLst>
        </xdr:cNvPr>
        <xdr:cNvCxnSpPr/>
      </xdr:nvCxnSpPr>
      <xdr:spPr>
        <a:xfrm flipH="1">
          <a:off x="13346974" y="8573589"/>
          <a:ext cx="1483721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16329</xdr:colOff>
      <xdr:row>40</xdr:row>
      <xdr:rowOff>111579</xdr:rowOff>
    </xdr:from>
    <xdr:to>
      <xdr:col>18</xdr:col>
      <xdr:colOff>707570</xdr:colOff>
      <xdr:row>40</xdr:row>
      <xdr:rowOff>111580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9F464398-2D7E-482D-9195-B0013ADB8961}"/>
            </a:ext>
          </a:extLst>
        </xdr:cNvPr>
        <xdr:cNvCxnSpPr/>
      </xdr:nvCxnSpPr>
      <xdr:spPr>
        <a:xfrm flipH="1">
          <a:off x="13336089" y="9423219"/>
          <a:ext cx="1483721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32656</xdr:colOff>
      <xdr:row>31</xdr:row>
      <xdr:rowOff>100693</xdr:rowOff>
    </xdr:from>
    <xdr:to>
      <xdr:col>18</xdr:col>
      <xdr:colOff>723897</xdr:colOff>
      <xdr:row>31</xdr:row>
      <xdr:rowOff>100694</xdr:rowOff>
    </xdr:to>
    <xdr:cxnSp macro="">
      <xdr:nvCxnSpPr>
        <xdr:cNvPr id="12" name="Connecteur droit avec flèche 11">
          <a:extLst>
            <a:ext uri="{FF2B5EF4-FFF2-40B4-BE49-F238E27FC236}">
              <a16:creationId xmlns:a16="http://schemas.microsoft.com/office/drawing/2014/main" id="{9B583B9C-1B38-47E0-8EE2-4AADAA72A9F0}"/>
            </a:ext>
          </a:extLst>
        </xdr:cNvPr>
        <xdr:cNvCxnSpPr/>
      </xdr:nvCxnSpPr>
      <xdr:spPr>
        <a:xfrm flipH="1">
          <a:off x="13352416" y="7629253"/>
          <a:ext cx="1483721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770164</xdr:colOff>
      <xdr:row>27</xdr:row>
      <xdr:rowOff>172934</xdr:rowOff>
    </xdr:from>
    <xdr:to>
      <xdr:col>18</xdr:col>
      <xdr:colOff>685798</xdr:colOff>
      <xdr:row>27</xdr:row>
      <xdr:rowOff>172935</xdr:rowOff>
    </xdr:to>
    <xdr:cxnSp macro="">
      <xdr:nvCxnSpPr>
        <xdr:cNvPr id="13" name="Connecteur droit avec flèche 12">
          <a:extLst>
            <a:ext uri="{FF2B5EF4-FFF2-40B4-BE49-F238E27FC236}">
              <a16:creationId xmlns:a16="http://schemas.microsoft.com/office/drawing/2014/main" id="{918B5210-4B34-4414-9668-A4766A1A7A82}"/>
            </a:ext>
          </a:extLst>
        </xdr:cNvPr>
        <xdr:cNvCxnSpPr/>
      </xdr:nvCxnSpPr>
      <xdr:spPr>
        <a:xfrm flipH="1">
          <a:off x="13253109" y="6906243"/>
          <a:ext cx="1495053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585107</xdr:colOff>
      <xdr:row>50</xdr:row>
      <xdr:rowOff>81643</xdr:rowOff>
    </xdr:from>
    <xdr:to>
      <xdr:col>16</xdr:col>
      <xdr:colOff>585107</xdr:colOff>
      <xdr:row>55</xdr:row>
      <xdr:rowOff>27214</xdr:rowOff>
    </xdr:to>
    <xdr:cxnSp macro="">
      <xdr:nvCxnSpPr>
        <xdr:cNvPr id="14" name="Connecteur droit avec flèche 13">
          <a:extLst>
            <a:ext uri="{FF2B5EF4-FFF2-40B4-BE49-F238E27FC236}">
              <a16:creationId xmlns:a16="http://schemas.microsoft.com/office/drawing/2014/main" id="{721B9C69-3496-4D20-B5B4-8CACDEFBE546}"/>
            </a:ext>
          </a:extLst>
        </xdr:cNvPr>
        <xdr:cNvCxnSpPr/>
      </xdr:nvCxnSpPr>
      <xdr:spPr>
        <a:xfrm flipV="1">
          <a:off x="13112387" y="11252563"/>
          <a:ext cx="0" cy="8599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288472</xdr:colOff>
      <xdr:row>50</xdr:row>
      <xdr:rowOff>84364</xdr:rowOff>
    </xdr:from>
    <xdr:to>
      <xdr:col>13</xdr:col>
      <xdr:colOff>288472</xdr:colOff>
      <xdr:row>55</xdr:row>
      <xdr:rowOff>29935</xdr:rowOff>
    </xdr:to>
    <xdr:cxnSp macro="">
      <xdr:nvCxnSpPr>
        <xdr:cNvPr id="15" name="Connecteur droit avec flèche 14">
          <a:extLst>
            <a:ext uri="{FF2B5EF4-FFF2-40B4-BE49-F238E27FC236}">
              <a16:creationId xmlns:a16="http://schemas.microsoft.com/office/drawing/2014/main" id="{11A75B4B-AC51-415F-9E86-1794E0E3F393}"/>
            </a:ext>
          </a:extLst>
        </xdr:cNvPr>
        <xdr:cNvCxnSpPr/>
      </xdr:nvCxnSpPr>
      <xdr:spPr>
        <a:xfrm flipV="1">
          <a:off x="10438312" y="11255284"/>
          <a:ext cx="0" cy="8599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289560</xdr:colOff>
          <xdr:row>60</xdr:row>
          <xdr:rowOff>213360</xdr:rowOff>
        </xdr:from>
        <xdr:to>
          <xdr:col>22</xdr:col>
          <xdr:colOff>137160</xdr:colOff>
          <xdr:row>64</xdr:row>
          <xdr:rowOff>60960</xdr:rowOff>
        </xdr:to>
        <xdr:sp macro="" textlink="">
          <xdr:nvSpPr>
            <xdr:cNvPr id="8193" name="AccederMenu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Relationship Id="rId9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DF387-7D49-4A6D-8687-A64EA30DA1E0}">
  <sheetPr codeName="Feuil2"/>
  <dimension ref="A1:W61"/>
  <sheetViews>
    <sheetView tabSelected="1" zoomScale="40" zoomScaleNormal="40" workbookViewId="0">
      <selection activeCell="W6" sqref="W6"/>
    </sheetView>
  </sheetViews>
  <sheetFormatPr baseColWidth="10" defaultColWidth="0" defaultRowHeight="14.4" zeroHeight="1" x14ac:dyDescent="0.3"/>
  <cols>
    <col min="1" max="23" width="11.5546875" style="67" customWidth="1"/>
    <col min="24" max="16384" width="11.5546875" style="34" hidden="1"/>
  </cols>
  <sheetData>
    <row r="1" spans="20:23" s="34" customFormat="1" x14ac:dyDescent="0.3">
      <c r="W1" s="60"/>
    </row>
    <row r="2" spans="20:23" s="34" customFormat="1" x14ac:dyDescent="0.3">
      <c r="W2" s="60"/>
    </row>
    <row r="3" spans="20:23" s="34" customFormat="1" x14ac:dyDescent="0.3">
      <c r="W3" s="60"/>
    </row>
    <row r="4" spans="20:23" s="34" customFormat="1" x14ac:dyDescent="0.3">
      <c r="W4" s="60"/>
    </row>
    <row r="5" spans="20:23" s="34" customFormat="1" x14ac:dyDescent="0.3">
      <c r="W5" s="60"/>
    </row>
    <row r="6" spans="20:23" s="34" customFormat="1" x14ac:dyDescent="0.3">
      <c r="W6" s="60"/>
    </row>
    <row r="7" spans="20:23" s="34" customFormat="1" x14ac:dyDescent="0.3">
      <c r="W7" s="60"/>
    </row>
    <row r="8" spans="20:23" s="34" customFormat="1" x14ac:dyDescent="0.3">
      <c r="W8" s="60"/>
    </row>
    <row r="9" spans="20:23" s="34" customFormat="1" x14ac:dyDescent="0.3">
      <c r="W9" s="60"/>
    </row>
    <row r="10" spans="20:23" s="34" customFormat="1" ht="18" x14ac:dyDescent="0.35">
      <c r="T10" s="57"/>
      <c r="W10" s="60"/>
    </row>
    <row r="11" spans="20:23" s="34" customFormat="1" x14ac:dyDescent="0.3">
      <c r="W11" s="60"/>
    </row>
    <row r="12" spans="20:23" s="34" customFormat="1" x14ac:dyDescent="0.3">
      <c r="W12" s="60"/>
    </row>
    <row r="13" spans="20:23" s="34" customFormat="1" x14ac:dyDescent="0.3">
      <c r="W13" s="60"/>
    </row>
    <row r="14" spans="20:23" s="34" customFormat="1" x14ac:dyDescent="0.3">
      <c r="W14" s="60"/>
    </row>
    <row r="15" spans="20:23" s="34" customFormat="1" x14ac:dyDescent="0.3">
      <c r="W15" s="60"/>
    </row>
    <row r="16" spans="20:23" s="34" customFormat="1" x14ac:dyDescent="0.3">
      <c r="W16" s="60"/>
    </row>
    <row r="17" spans="18:23" s="34" customFormat="1" x14ac:dyDescent="0.3">
      <c r="W17" s="60"/>
    </row>
    <row r="18" spans="18:23" s="34" customFormat="1" x14ac:dyDescent="0.3">
      <c r="W18" s="60"/>
    </row>
    <row r="19" spans="18:23" s="34" customFormat="1" x14ac:dyDescent="0.3">
      <c r="W19" s="60"/>
    </row>
    <row r="20" spans="18:23" s="34" customFormat="1" x14ac:dyDescent="0.3">
      <c r="W20" s="60"/>
    </row>
    <row r="21" spans="18:23" s="34" customFormat="1" x14ac:dyDescent="0.3">
      <c r="W21" s="60"/>
    </row>
    <row r="22" spans="18:23" s="34" customFormat="1" x14ac:dyDescent="0.3">
      <c r="W22" s="60"/>
    </row>
    <row r="23" spans="18:23" s="34" customFormat="1" x14ac:dyDescent="0.3">
      <c r="W23" s="60"/>
    </row>
    <row r="24" spans="18:23" s="34" customFormat="1" x14ac:dyDescent="0.3">
      <c r="W24" s="60"/>
    </row>
    <row r="25" spans="18:23" s="34" customFormat="1" x14ac:dyDescent="0.3">
      <c r="V25"/>
      <c r="W25" s="60"/>
    </row>
    <row r="26" spans="18:23" s="34" customFormat="1" x14ac:dyDescent="0.3">
      <c r="W26" s="60"/>
    </row>
    <row r="27" spans="18:23" s="34" customFormat="1" x14ac:dyDescent="0.3">
      <c r="W27" s="60"/>
    </row>
    <row r="28" spans="18:23" s="34" customFormat="1" x14ac:dyDescent="0.3">
      <c r="W28" s="60"/>
    </row>
    <row r="29" spans="18:23" s="34" customFormat="1" x14ac:dyDescent="0.3">
      <c r="W29"/>
    </row>
    <row r="30" spans="18:23" s="34" customFormat="1" ht="18" x14ac:dyDescent="0.35">
      <c r="R30" s="57"/>
      <c r="W30" s="60"/>
    </row>
    <row r="31" spans="18:23" s="34" customFormat="1" x14ac:dyDescent="0.3">
      <c r="V31"/>
      <c r="W31" s="60"/>
    </row>
    <row r="32" spans="18:23" s="34" customFormat="1" x14ac:dyDescent="0.3">
      <c r="W32" s="60"/>
    </row>
    <row r="33" spans="11:23" s="34" customFormat="1" x14ac:dyDescent="0.3">
      <c r="W33" s="60"/>
    </row>
    <row r="34" spans="11:23" s="34" customFormat="1" ht="18" x14ac:dyDescent="0.35">
      <c r="P34" s="57"/>
      <c r="W34" s="60"/>
    </row>
    <row r="35" spans="11:23" s="34" customFormat="1" x14ac:dyDescent="0.3">
      <c r="L35"/>
      <c r="W35" s="60"/>
    </row>
    <row r="36" spans="11:23" s="34" customFormat="1" x14ac:dyDescent="0.3">
      <c r="W36" s="60"/>
    </row>
    <row r="37" spans="11:23" s="34" customFormat="1" x14ac:dyDescent="0.3">
      <c r="W37" s="60"/>
    </row>
    <row r="38" spans="11:23" s="34" customFormat="1" x14ac:dyDescent="0.3">
      <c r="W38"/>
    </row>
    <row r="39" spans="11:23" s="34" customFormat="1" x14ac:dyDescent="0.3">
      <c r="W39" s="60"/>
    </row>
    <row r="40" spans="11:23" s="34" customFormat="1" x14ac:dyDescent="0.3">
      <c r="W40" s="60"/>
    </row>
    <row r="41" spans="11:23" s="34" customFormat="1" x14ac:dyDescent="0.3">
      <c r="K41"/>
      <c r="W41" s="60"/>
    </row>
    <row r="42" spans="11:23" s="34" customFormat="1" x14ac:dyDescent="0.3">
      <c r="W42" s="60"/>
    </row>
    <row r="43" spans="11:23" s="34" customFormat="1" x14ac:dyDescent="0.3">
      <c r="W43"/>
    </row>
    <row r="44" spans="11:23" s="34" customFormat="1" x14ac:dyDescent="0.3">
      <c r="W44" s="60"/>
    </row>
    <row r="45" spans="11:23" s="34" customFormat="1" x14ac:dyDescent="0.3">
      <c r="W45" s="60"/>
    </row>
    <row r="46" spans="11:23" s="34" customFormat="1" x14ac:dyDescent="0.3">
      <c r="W46"/>
    </row>
    <row r="47" spans="11:23" s="34" customFormat="1" x14ac:dyDescent="0.3">
      <c r="W47" s="60"/>
    </row>
    <row r="48" spans="11:23" s="34" customFormat="1" x14ac:dyDescent="0.3">
      <c r="W48" s="60"/>
    </row>
    <row r="49" spans="1:23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60"/>
    </row>
    <row r="50" spans="1:23" x14ac:dyDescent="0.3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34"/>
      <c r="U50" s="34"/>
      <c r="V50" s="34"/>
      <c r="W50" s="60"/>
    </row>
    <row r="51" spans="1:23" x14ac:dyDescent="0.3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60"/>
    </row>
    <row r="52" spans="1:23" x14ac:dyDescent="0.3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60"/>
    </row>
    <row r="53" spans="1:23" x14ac:dyDescent="0.3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60"/>
    </row>
    <row r="54" spans="1:23" x14ac:dyDescent="0.3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60"/>
    </row>
    <row r="55" spans="1:23" x14ac:dyDescent="0.3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60"/>
    </row>
    <row r="56" spans="1:23" x14ac:dyDescent="0.3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60"/>
    </row>
    <row r="57" spans="1:23" x14ac:dyDescent="0.3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60"/>
    </row>
    <row r="58" spans="1:23" x14ac:dyDescent="0.3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60"/>
    </row>
    <row r="59" spans="1:23" x14ac:dyDescent="0.3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60"/>
    </row>
    <row r="60" spans="1:23" ht="15" hidden="1" thickBot="1" x14ac:dyDescent="0.3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61"/>
    </row>
    <row r="61" spans="1:23" ht="15" hidden="1" thickTop="1" x14ac:dyDescent="0.3"/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0" r:id="rId3" name="btn_modif">
          <controlPr defaultSize="0" autoLine="0" autoPict="0" r:id="rId4">
            <anchor moveWithCells="1">
              <from>
                <xdr:col>12</xdr:col>
                <xdr:colOff>647700</xdr:colOff>
                <xdr:row>17</xdr:row>
                <xdr:rowOff>22860</xdr:rowOff>
              </from>
              <to>
                <xdr:col>20</xdr:col>
                <xdr:colOff>22860</xdr:colOff>
                <xdr:row>27</xdr:row>
                <xdr:rowOff>99060</xdr:rowOff>
              </to>
            </anchor>
          </controlPr>
        </control>
      </mc:Choice>
      <mc:Fallback>
        <control shapeId="3080" r:id="rId3" name="btn_modif"/>
      </mc:Fallback>
    </mc:AlternateContent>
    <mc:AlternateContent xmlns:mc="http://schemas.openxmlformats.org/markup-compatibility/2006">
      <mc:Choice Requires="x14">
        <control shapeId="3079" r:id="rId5" name="btn_effacer">
          <controlPr defaultSize="0" autoLine="0" autoPict="0" r:id="rId6">
            <anchor moveWithCells="1">
              <from>
                <xdr:col>12</xdr:col>
                <xdr:colOff>647700</xdr:colOff>
                <xdr:row>40</xdr:row>
                <xdr:rowOff>167640</xdr:rowOff>
              </from>
              <to>
                <xdr:col>20</xdr:col>
                <xdr:colOff>22860</xdr:colOff>
                <xdr:row>51</xdr:row>
                <xdr:rowOff>60960</xdr:rowOff>
              </to>
            </anchor>
          </controlPr>
        </control>
      </mc:Choice>
      <mc:Fallback>
        <control shapeId="3079" r:id="rId5" name="btn_effacer"/>
      </mc:Fallback>
    </mc:AlternateContent>
    <mc:AlternateContent xmlns:mc="http://schemas.openxmlformats.org/markup-compatibility/2006">
      <mc:Choice Requires="x14">
        <control shapeId="3077" r:id="rId7" name="AccederNotes">
          <controlPr defaultSize="0" autoLine="0" autoPict="0" r:id="rId8">
            <anchor moveWithCells="1">
              <from>
                <xdr:col>1</xdr:col>
                <xdr:colOff>480060</xdr:colOff>
                <xdr:row>28</xdr:row>
                <xdr:rowOff>167640</xdr:rowOff>
              </from>
              <to>
                <xdr:col>8</xdr:col>
                <xdr:colOff>647700</xdr:colOff>
                <xdr:row>38</xdr:row>
                <xdr:rowOff>152400</xdr:rowOff>
              </to>
            </anchor>
          </controlPr>
        </control>
      </mc:Choice>
      <mc:Fallback>
        <control shapeId="3077" r:id="rId7" name="AccederNotes"/>
      </mc:Fallback>
    </mc:AlternateContent>
    <mc:AlternateContent xmlns:mc="http://schemas.openxmlformats.org/markup-compatibility/2006">
      <mc:Choice Requires="x14">
        <control shapeId="3076" r:id="rId9" name="AccederGuide">
          <controlPr defaultSize="0" autoLine="0" autoPict="0" r:id="rId10">
            <anchor moveWithCells="1">
              <from>
                <xdr:col>12</xdr:col>
                <xdr:colOff>647700</xdr:colOff>
                <xdr:row>28</xdr:row>
                <xdr:rowOff>167640</xdr:rowOff>
              </from>
              <to>
                <xdr:col>20</xdr:col>
                <xdr:colOff>22860</xdr:colOff>
                <xdr:row>38</xdr:row>
                <xdr:rowOff>152400</xdr:rowOff>
              </to>
            </anchor>
          </controlPr>
        </control>
      </mc:Choice>
      <mc:Fallback>
        <control shapeId="3076" r:id="rId9" name="AccederGuide"/>
      </mc:Fallback>
    </mc:AlternateContent>
    <mc:AlternateContent xmlns:mc="http://schemas.openxmlformats.org/markup-compatibility/2006">
      <mc:Choice Requires="x14">
        <control shapeId="3075" r:id="rId11" name="AccederBDD">
          <controlPr defaultSize="0" autoLine="0" r:id="rId12">
            <anchor moveWithCells="1">
              <from>
                <xdr:col>1</xdr:col>
                <xdr:colOff>480060</xdr:colOff>
                <xdr:row>40</xdr:row>
                <xdr:rowOff>167640</xdr:rowOff>
              </from>
              <to>
                <xdr:col>8</xdr:col>
                <xdr:colOff>647700</xdr:colOff>
                <xdr:row>51</xdr:row>
                <xdr:rowOff>60960</xdr:rowOff>
              </to>
            </anchor>
          </controlPr>
        </control>
      </mc:Choice>
      <mc:Fallback>
        <control shapeId="3075" r:id="rId11" name="AccederBDD"/>
      </mc:Fallback>
    </mc:AlternateContent>
    <mc:AlternateContent xmlns:mc="http://schemas.openxmlformats.org/markup-compatibility/2006">
      <mc:Choice Requires="x14">
        <control shapeId="3074" r:id="rId13" name="CommandButton1">
          <controlPr defaultSize="0" autoLine="0" autoPict="0" r:id="rId14">
            <anchor moveWithCells="1">
              <from>
                <xdr:col>1</xdr:col>
                <xdr:colOff>480060</xdr:colOff>
                <xdr:row>17</xdr:row>
                <xdr:rowOff>22860</xdr:rowOff>
              </from>
              <to>
                <xdr:col>8</xdr:col>
                <xdr:colOff>647700</xdr:colOff>
                <xdr:row>27</xdr:row>
                <xdr:rowOff>99060</xdr:rowOff>
              </to>
            </anchor>
          </controlPr>
        </control>
      </mc:Choice>
      <mc:Fallback>
        <control shapeId="3074" r:id="rId1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4D4D-FBFE-4B04-AF44-F54962F33FBB}">
  <sheetPr codeName="Feuil1"/>
  <dimension ref="A1:O97"/>
  <sheetViews>
    <sheetView zoomScale="55" zoomScaleNormal="55" workbookViewId="0">
      <selection activeCell="J13" sqref="J13"/>
    </sheetView>
  </sheetViews>
  <sheetFormatPr baseColWidth="10" defaultColWidth="0" defaultRowHeight="19.95" customHeight="1" zeroHeight="1" x14ac:dyDescent="0.3"/>
  <cols>
    <col min="1" max="1" width="35" style="95" bestFit="1" customWidth="1"/>
    <col min="2" max="2" width="52" style="95" customWidth="1"/>
    <col min="3" max="3" width="22.109375" style="95" customWidth="1"/>
    <col min="4" max="4" width="19.6640625" style="95" customWidth="1"/>
    <col min="5" max="5" width="11.5546875" style="95" customWidth="1"/>
    <col min="6" max="6" width="26.6640625" style="95" customWidth="1"/>
    <col min="7" max="7" width="60.88671875" style="95" customWidth="1"/>
    <col min="8" max="8" width="18" style="95" customWidth="1"/>
    <col min="9" max="9" width="15" style="95" customWidth="1"/>
    <col min="10" max="11" width="11.5546875" style="95" customWidth="1"/>
    <col min="12" max="15" width="0" style="95" hidden="1" customWidth="1"/>
    <col min="16" max="16384" width="11.5546875" style="95" hidden="1"/>
  </cols>
  <sheetData>
    <row r="1" spans="1:15" customFormat="1" ht="18" x14ac:dyDescent="0.3">
      <c r="A1" s="97" t="s">
        <v>0</v>
      </c>
      <c r="B1" s="97"/>
      <c r="C1" s="97"/>
      <c r="D1" s="97"/>
      <c r="E1" s="73">
        <v>0</v>
      </c>
      <c r="F1" s="97" t="s">
        <v>1</v>
      </c>
      <c r="G1" s="97"/>
      <c r="H1" s="97"/>
      <c r="I1" s="97"/>
      <c r="J1" s="34"/>
      <c r="K1" s="60"/>
      <c r="L1" s="34"/>
      <c r="M1" s="34"/>
      <c r="N1" s="34"/>
      <c r="O1" s="34"/>
    </row>
    <row r="2" spans="1:15" customFormat="1" ht="18" x14ac:dyDescent="0.3">
      <c r="A2" s="1" t="s">
        <v>2</v>
      </c>
      <c r="B2" s="1" t="s">
        <v>3</v>
      </c>
      <c r="C2" s="1" t="s">
        <v>4</v>
      </c>
      <c r="D2" s="1" t="s">
        <v>5</v>
      </c>
      <c r="E2" s="73">
        <v>0</v>
      </c>
      <c r="F2" s="2" t="s">
        <v>2</v>
      </c>
      <c r="G2" s="1" t="s">
        <v>3</v>
      </c>
      <c r="H2" s="1" t="s">
        <v>4</v>
      </c>
      <c r="I2" s="1" t="s">
        <v>5</v>
      </c>
      <c r="J2" s="34"/>
      <c r="K2" s="60"/>
      <c r="L2" s="34"/>
      <c r="M2" s="34"/>
      <c r="N2" s="34"/>
      <c r="O2" s="34"/>
    </row>
    <row r="3" spans="1:15" customFormat="1" ht="14.4" x14ac:dyDescent="0.3">
      <c r="A3" s="100" t="s">
        <v>33</v>
      </c>
      <c r="B3" s="18" t="s">
        <v>8</v>
      </c>
      <c r="C3" s="19">
        <v>15</v>
      </c>
      <c r="D3" s="75" t="str">
        <f>IFERROR(SUMIFS('Base de données'!G:G, 'Base de données'!B:B, "Semestre 1", 'Base de données'!D:D, B3) /
SUMIFS('Base de données'!F:F, 'Base de données'!B:B, "Semestre 1", 'Base de données'!D:D, B3), "")</f>
        <v/>
      </c>
      <c r="E3" s="62"/>
      <c r="F3" s="107" t="s">
        <v>33</v>
      </c>
      <c r="G3" s="37" t="s">
        <v>12</v>
      </c>
      <c r="H3" s="38">
        <v>10</v>
      </c>
      <c r="I3" s="77" t="str">
        <f>IFERROR(SUMIFS('Base de données'!G:G, 'Base de données'!B:B, "Semestre 2", 'Base de données'!D:D, G3) /
SUMIFS('Base de données'!F:F, 'Base de données'!B:B, "Semestre 2", 'Base de données'!D:D, G3), "")</f>
        <v/>
      </c>
      <c r="J3" s="34"/>
      <c r="K3" s="60"/>
      <c r="L3" s="34"/>
      <c r="M3" s="34"/>
      <c r="N3" s="34"/>
      <c r="O3" s="34"/>
    </row>
    <row r="4" spans="1:15" customFormat="1" ht="14.4" x14ac:dyDescent="0.3">
      <c r="A4" s="101"/>
      <c r="B4" s="18" t="s">
        <v>34</v>
      </c>
      <c r="C4" s="19">
        <v>20</v>
      </c>
      <c r="D4" s="75" t="str">
        <f>IFERROR(SUMIFS('Base de données'!G:G, 'Base de données'!B:B, "Semestre 1", 'Base de données'!D:D, B4) /
SUMIFS('Base de données'!F:F, 'Base de données'!B:B, "Semestre 1", 'Base de données'!D:D, B4), "")</f>
        <v/>
      </c>
      <c r="E4" s="62"/>
      <c r="F4" s="108"/>
      <c r="G4" s="37" t="s">
        <v>45</v>
      </c>
      <c r="H4" s="38">
        <v>15</v>
      </c>
      <c r="I4" s="77" t="str">
        <f>IFERROR(SUMIFS('Base de données'!G:G, 'Base de données'!B:B, "Semestre 2", 'Base de données'!D:D, G4) /
SUMIFS('Base de données'!F:F, 'Base de données'!B:B, "Semestre 2", 'Base de données'!D:D, G4), "")</f>
        <v/>
      </c>
      <c r="J4" s="34"/>
      <c r="K4" s="60"/>
      <c r="L4" s="34"/>
      <c r="M4" s="34"/>
      <c r="N4" s="34"/>
      <c r="O4" s="34"/>
    </row>
    <row r="5" spans="1:15" customFormat="1" ht="14.4" x14ac:dyDescent="0.3">
      <c r="A5" s="101"/>
      <c r="B5" s="18" t="s">
        <v>10</v>
      </c>
      <c r="C5" s="19">
        <v>20</v>
      </c>
      <c r="D5" s="75" t="str">
        <f>IFERROR(SUMIFS('Base de données'!G:G, 'Base de données'!B:B, "Semestre 1", 'Base de données'!D:D, B5) /
SUMIFS('Base de données'!F:F, 'Base de données'!B:B, "Semestre 1", 'Base de données'!D:D, B5), "")</f>
        <v/>
      </c>
      <c r="E5" s="62"/>
      <c r="F5" s="108"/>
      <c r="G5" s="37" t="s">
        <v>9</v>
      </c>
      <c r="H5" s="38">
        <v>15</v>
      </c>
      <c r="I5" s="77" t="str">
        <f>IFERROR(SUMIFS('Base de données'!G:G, 'Base de données'!B:B, "Semestre 2", 'Base de données'!D:D, G5) /
SUMIFS('Base de données'!F:F, 'Base de données'!B:B, "Semestre 2", 'Base de données'!D:D, G5), "")</f>
        <v/>
      </c>
      <c r="J5" s="34"/>
      <c r="K5" s="60"/>
      <c r="L5" s="34"/>
      <c r="M5" s="34"/>
      <c r="N5" s="34"/>
      <c r="O5" s="34"/>
    </row>
    <row r="6" spans="1:15" s="14" customFormat="1" ht="14.4" x14ac:dyDescent="0.3">
      <c r="A6" s="101"/>
      <c r="B6" s="15" t="s">
        <v>6</v>
      </c>
      <c r="C6" s="45">
        <v>5</v>
      </c>
      <c r="D6" s="75" t="str">
        <f>IFERROR(SUMIFS('Base de données'!G:G, 'Base de données'!B:B, "Semestre 1", 'Base de données'!D:D, B6) /
SUMIFS('Base de données'!F:F, 'Base de données'!B:B, "Semestre 1", 'Base de données'!D:D, B6), "")</f>
        <v/>
      </c>
      <c r="E6" s="62"/>
      <c r="F6" s="108"/>
      <c r="G6" s="37" t="s">
        <v>11</v>
      </c>
      <c r="H6" s="38">
        <v>15</v>
      </c>
      <c r="I6" s="77" t="str">
        <f>IFERROR(SUMIFS('Base de données'!G:G, 'Base de données'!B:B, "Semestre 2", 'Base de données'!D:D, G6) /
SUMIFS('Base de données'!F:F, 'Base de données'!B:B, "Semestre 2", 'Base de données'!D:D, G6), "")</f>
        <v/>
      </c>
      <c r="J6" s="34"/>
      <c r="K6" s="60"/>
      <c r="L6" s="67"/>
      <c r="M6" s="67"/>
      <c r="N6" s="67"/>
      <c r="O6" s="67"/>
    </row>
    <row r="7" spans="1:15" s="14" customFormat="1" ht="14.4" x14ac:dyDescent="0.3">
      <c r="A7" s="101"/>
      <c r="B7" s="24" t="s">
        <v>35</v>
      </c>
      <c r="C7" s="45">
        <v>30</v>
      </c>
      <c r="D7" s="75" t="str">
        <f>IFERROR(SUMIFS('Base de données'!G:G, 'Base de données'!B:B, "Semestre 1", 'Base de données'!D:D, B7) /
SUMIFS('Base de données'!F:F, 'Base de données'!B:B, "Semestre 1", 'Base de données'!D:D, B7), "")</f>
        <v/>
      </c>
      <c r="E7" s="62"/>
      <c r="F7" s="108"/>
      <c r="G7" s="15" t="s">
        <v>7</v>
      </c>
      <c r="H7" s="49">
        <v>5</v>
      </c>
      <c r="I7" s="77" t="str">
        <f>IFERROR(SUMIFS('Base de données'!G:G, 'Base de données'!B:B, "Semestre 2", 'Base de données'!D:D, G7) /
SUMIFS('Base de données'!F:F, 'Base de données'!B:B, "Semestre 2", 'Base de données'!D:D, G7), "")</f>
        <v/>
      </c>
      <c r="J7" s="34"/>
      <c r="K7" s="60"/>
      <c r="L7" s="67"/>
      <c r="M7" s="67"/>
      <c r="N7" s="67"/>
      <c r="O7" s="67"/>
    </row>
    <row r="8" spans="1:15" s="14" customFormat="1" ht="14.4" x14ac:dyDescent="0.3">
      <c r="A8" s="102"/>
      <c r="B8" s="24" t="s">
        <v>36</v>
      </c>
      <c r="C8" s="45">
        <v>10</v>
      </c>
      <c r="D8" s="75" t="str">
        <f>IFERROR(SUMIFS('Base de données'!G:G, 'Base de données'!B:B, "Semestre 1", 'Base de données'!D:D, B8) /
SUMIFS('Base de données'!F:F, 'Base de données'!B:B, "Semestre 1", 'Base de données'!D:D, B8), "")</f>
        <v/>
      </c>
      <c r="E8" s="62"/>
      <c r="F8" s="108"/>
      <c r="G8" s="43" t="s">
        <v>46</v>
      </c>
      <c r="H8" s="49">
        <v>10</v>
      </c>
      <c r="I8" s="77" t="str">
        <f>IFERROR(SUMIFS('Base de données'!G:G, 'Base de données'!B:B, "Semestre 2", 'Base de données'!D:D, G8) /
SUMIFS('Base de données'!F:F, 'Base de données'!B:B, "Semestre 2", 'Base de données'!D:D, G8), "")</f>
        <v/>
      </c>
      <c r="J8" s="34"/>
      <c r="K8" s="60"/>
      <c r="L8" s="67"/>
      <c r="M8" s="67"/>
      <c r="N8" s="67"/>
      <c r="O8" s="67"/>
    </row>
    <row r="9" spans="1:15" s="14" customFormat="1" ht="14.4" x14ac:dyDescent="0.3">
      <c r="A9" s="53"/>
      <c r="B9" s="54"/>
      <c r="C9" s="55"/>
      <c r="D9" s="76" t="str">
        <f>IFERROR(SUMIFS('Base de données'!G:G, 'Base de données'!B:B, "Semestre 1", 'Base de données'!D:D, B9) /
SUMIFS('Base de données'!F:F, 'Base de données'!B:B, "Semestre 1", 'Base de données'!D:D, B9), "")</f>
        <v/>
      </c>
      <c r="E9" s="63"/>
      <c r="F9" s="108"/>
      <c r="G9" s="25" t="s">
        <v>47</v>
      </c>
      <c r="H9" s="49">
        <v>5</v>
      </c>
      <c r="I9" s="77" t="str">
        <f>IFERROR(SUMIFS('Base de données'!G:G, 'Base de données'!B:B, "Semestre 2", 'Base de données'!D:D, G9) /
SUMIFS('Base de données'!F:F, 'Base de données'!B:B, "Semestre 2", 'Base de données'!D:D, G9), "")</f>
        <v/>
      </c>
      <c r="J9" s="34"/>
      <c r="K9" s="60"/>
      <c r="L9" s="67"/>
      <c r="M9" s="67"/>
      <c r="N9" s="67"/>
      <c r="O9" s="67"/>
    </row>
    <row r="10" spans="1:15" s="14" customFormat="1" ht="14.4" x14ac:dyDescent="0.3">
      <c r="A10" s="103" t="s">
        <v>37</v>
      </c>
      <c r="B10" s="20" t="s">
        <v>13</v>
      </c>
      <c r="C10" s="21">
        <v>20</v>
      </c>
      <c r="D10" s="75" t="str">
        <f>IFERROR(SUMIFS('Base de données'!G:G, 'Base de données'!B:B, "Semestre 1", 'Base de données'!D:D, B10) /
SUMIFS('Base de données'!F:F, 'Base de données'!B:B, "Semestre 1", 'Base de données'!D:D, B10), "")</f>
        <v/>
      </c>
      <c r="E10" s="62"/>
      <c r="F10" s="108"/>
      <c r="G10" s="25" t="s">
        <v>48</v>
      </c>
      <c r="H10" s="49">
        <v>20</v>
      </c>
      <c r="I10" s="77" t="str">
        <f>IFERROR(SUMIFS('Base de données'!G:G, 'Base de données'!B:B, "Semestre 2", 'Base de données'!D:D, G10) /
SUMIFS('Base de données'!F:F, 'Base de données'!B:B, "Semestre 2", 'Base de données'!D:D, G10), "")</f>
        <v/>
      </c>
      <c r="J10" s="34"/>
      <c r="K10" s="60"/>
      <c r="L10" s="67"/>
      <c r="M10" s="67"/>
      <c r="N10" s="67"/>
      <c r="O10" s="67"/>
    </row>
    <row r="11" spans="1:15" s="14" customFormat="1" ht="14.4" x14ac:dyDescent="0.3">
      <c r="A11" s="104"/>
      <c r="B11" s="20" t="s">
        <v>14</v>
      </c>
      <c r="C11" s="21">
        <v>15</v>
      </c>
      <c r="D11" s="75" t="str">
        <f>IFERROR(SUMIFS('Base de données'!G:G, 'Base de données'!B:B, "Semestre 1", 'Base de données'!D:D, B11) /
SUMIFS('Base de données'!F:F, 'Base de données'!B:B, "Semestre 1", 'Base de données'!D:D, B11), "")</f>
        <v/>
      </c>
      <c r="E11" s="62"/>
      <c r="F11" s="108"/>
      <c r="G11" s="26" t="s">
        <v>49</v>
      </c>
      <c r="H11" s="50">
        <v>5</v>
      </c>
      <c r="I11" s="77" t="str">
        <f>IFERROR(SUMIFS('Base de données'!G:G, 'Base de données'!B:B, "Semestre 2", 'Base de données'!D:D, G11) /
SUMIFS('Base de données'!F:F, 'Base de données'!B:B, "Semestre 2", 'Base de données'!D:D, G11), "")</f>
        <v/>
      </c>
      <c r="J11" s="34"/>
      <c r="K11" s="60"/>
      <c r="L11" s="67"/>
      <c r="M11" s="67"/>
      <c r="N11" s="67"/>
      <c r="O11" s="67"/>
    </row>
    <row r="12" spans="1:15" s="14" customFormat="1" ht="14.4" x14ac:dyDescent="0.3">
      <c r="A12" s="104"/>
      <c r="B12" s="22" t="s">
        <v>38</v>
      </c>
      <c r="C12" s="21">
        <v>20</v>
      </c>
      <c r="D12" s="75" t="str">
        <f>IFERROR(SUMIFS('Base de données'!G:G, 'Base de données'!B:B, "Semestre 1", 'Base de données'!D:D, B12) /
SUMIFS('Base de données'!F:F, 'Base de données'!B:B, "Semestre 1", 'Base de données'!D:D, B12), "")</f>
        <v/>
      </c>
      <c r="E12" s="62"/>
      <c r="F12" s="30"/>
      <c r="G12" s="28"/>
      <c r="H12" s="29"/>
      <c r="I12" s="76" t="str">
        <f>IFERROR(SUMIFS('Base de données'!G:G, 'Base de données'!B:B, "Semestre 2", 'Base de données'!D:D, G12) /
SUMIFS('Base de données'!F:F, 'Base de données'!B:B, "Semestre 2", 'Base de données'!D:D, G12), "")</f>
        <v/>
      </c>
      <c r="J12" s="34"/>
      <c r="K12" s="60"/>
      <c r="L12" s="67"/>
      <c r="M12" s="67"/>
      <c r="N12" s="67"/>
      <c r="O12" s="67"/>
    </row>
    <row r="13" spans="1:15" s="14" customFormat="1" ht="14.4" x14ac:dyDescent="0.3">
      <c r="A13" s="104"/>
      <c r="B13" s="15" t="s">
        <v>6</v>
      </c>
      <c r="C13" s="46">
        <v>5</v>
      </c>
      <c r="D13" s="75" t="str">
        <f>IFERROR(SUMIFS('Base de données'!G:G, 'Base de données'!B:B, "Semestre 1", 'Base de données'!D:D, B13) /
SUMIFS('Base de données'!F:F, 'Base de données'!B:B, "Semestre 1", 'Base de données'!D:D, B13), "")</f>
        <v/>
      </c>
      <c r="E13" s="62"/>
      <c r="F13" s="109" t="s">
        <v>37</v>
      </c>
      <c r="G13" s="39" t="s">
        <v>15</v>
      </c>
      <c r="H13" s="40">
        <v>10</v>
      </c>
      <c r="I13" s="77" t="str">
        <f>IFERROR(SUMIFS('Base de données'!G:G, 'Base de données'!B:B, "Semestre 2", 'Base de données'!D:D, G13) /
SUMIFS('Base de données'!F:F, 'Base de données'!B:B, "Semestre 2", 'Base de données'!D:D, G13), "")</f>
        <v/>
      </c>
      <c r="J13" s="34"/>
      <c r="K13" s="60"/>
      <c r="L13" s="67"/>
      <c r="M13" s="67"/>
      <c r="N13" s="67"/>
      <c r="O13" s="67"/>
    </row>
    <row r="14" spans="1:15" s="14" customFormat="1" ht="28.8" x14ac:dyDescent="0.3">
      <c r="A14" s="105"/>
      <c r="B14" s="23" t="s">
        <v>39</v>
      </c>
      <c r="C14" s="47">
        <v>40</v>
      </c>
      <c r="D14" s="75" t="str">
        <f>IFERROR(SUMIFS('Base de données'!G:G, 'Base de données'!B:B, "Semestre 1", 'Base de données'!D:D, B14) /
SUMIFS('Base de données'!F:F, 'Base de données'!B:B, "Semestre 1", 'Base de données'!D:D, B14), "")</f>
        <v/>
      </c>
      <c r="E14" s="62"/>
      <c r="F14" s="110"/>
      <c r="G14" s="41" t="s">
        <v>17</v>
      </c>
      <c r="H14" s="42">
        <v>15</v>
      </c>
      <c r="I14" s="77" t="str">
        <f>IFERROR(SUMIFS('Base de données'!G:G, 'Base de données'!B:B, "Semestre 2", 'Base de données'!D:D, G14) /
SUMIFS('Base de données'!F:F, 'Base de données'!B:B, "Semestre 2", 'Base de données'!D:D, G14), "")</f>
        <v/>
      </c>
      <c r="J14" s="34"/>
      <c r="K14" s="60"/>
      <c r="L14" s="67"/>
      <c r="M14" s="67"/>
      <c r="N14" s="67"/>
      <c r="O14" s="67"/>
    </row>
    <row r="15" spans="1:15" s="14" customFormat="1" ht="14.4" x14ac:dyDescent="0.3">
      <c r="A15" s="3"/>
      <c r="B15" s="4"/>
      <c r="C15" s="56"/>
      <c r="D15" s="76" t="str">
        <f>IFERROR(SUMIFS('Base de données'!G:G, 'Base de données'!B:B, "Semestre 1", 'Base de données'!D:D, B15) /
SUMIFS('Base de données'!F:F, 'Base de données'!B:B, "Semestre 1", 'Base de données'!D:D, B15), "")</f>
        <v/>
      </c>
      <c r="E15" s="64"/>
      <c r="F15" s="110"/>
      <c r="G15" s="41" t="s">
        <v>50</v>
      </c>
      <c r="H15" s="42">
        <v>15</v>
      </c>
      <c r="I15" s="77" t="str">
        <f>IFERROR(SUMIFS('Base de données'!G:G, 'Base de données'!B:B, "Semestre 2", 'Base de données'!D:D, G15) /
SUMIFS('Base de données'!F:F, 'Base de données'!B:B, "Semestre 2", 'Base de données'!D:D, G15), "")</f>
        <v/>
      </c>
      <c r="J15" s="34"/>
      <c r="K15" s="60"/>
      <c r="L15" s="67"/>
      <c r="M15" s="67"/>
      <c r="N15" s="67"/>
      <c r="O15" s="67"/>
    </row>
    <row r="16" spans="1:15" s="14" customFormat="1" ht="14.4" x14ac:dyDescent="0.3">
      <c r="A16" s="106" t="s">
        <v>40</v>
      </c>
      <c r="B16" s="16" t="s">
        <v>18</v>
      </c>
      <c r="C16" s="17">
        <v>15</v>
      </c>
      <c r="D16" s="75" t="str">
        <f>IFERROR(SUMIFS('Base de données'!G:G, 'Base de données'!B:B, "Semestre 1", 'Base de données'!D:D, B16) /
SUMIFS('Base de données'!F:F, 'Base de données'!B:B, "Semestre 1", 'Base de données'!D:D, B16), "")</f>
        <v/>
      </c>
      <c r="E16" s="62"/>
      <c r="F16" s="110"/>
      <c r="G16" s="41" t="s">
        <v>16</v>
      </c>
      <c r="H16" s="42">
        <v>15</v>
      </c>
      <c r="I16" s="77" t="str">
        <f>IFERROR(SUMIFS('Base de données'!G:G, 'Base de données'!B:B, "Semestre 2", 'Base de données'!D:D, G16) /
SUMIFS('Base de données'!F:F, 'Base de données'!B:B, "Semestre 2", 'Base de données'!D:D, G16), "")</f>
        <v/>
      </c>
      <c r="J16" s="34"/>
      <c r="K16" s="60"/>
      <c r="L16" s="67"/>
      <c r="M16" s="67"/>
      <c r="N16" s="67"/>
      <c r="O16" s="67"/>
    </row>
    <row r="17" spans="1:15" s="14" customFormat="1" ht="14.4" x14ac:dyDescent="0.3">
      <c r="A17" s="106"/>
      <c r="B17" s="16" t="s">
        <v>41</v>
      </c>
      <c r="C17" s="17">
        <v>15</v>
      </c>
      <c r="D17" s="75" t="str">
        <f>IFERROR(SUMIFS('Base de données'!G:G, 'Base de données'!B:B, "Semestre 1", 'Base de données'!D:D, B17) /
SUMIFS('Base de données'!F:F, 'Base de données'!B:B, "Semestre 1", 'Base de données'!D:D, B17), "")</f>
        <v/>
      </c>
      <c r="E17" s="62"/>
      <c r="F17" s="110"/>
      <c r="G17" s="15" t="s">
        <v>7</v>
      </c>
      <c r="H17" s="47">
        <v>5</v>
      </c>
      <c r="I17" s="77" t="str">
        <f>IFERROR(SUMIFS('Base de données'!G:G, 'Base de données'!B:B, "Semestre 2", 'Base de données'!D:D, G17) /
SUMIFS('Base de données'!F:F, 'Base de données'!B:B, "Semestre 2", 'Base de données'!D:D, G17), "")</f>
        <v/>
      </c>
      <c r="J17" s="34"/>
      <c r="K17" s="60"/>
      <c r="L17" s="67"/>
      <c r="M17" s="67"/>
      <c r="N17" s="67"/>
      <c r="O17" s="67"/>
    </row>
    <row r="18" spans="1:15" s="14" customFormat="1" ht="28.8" x14ac:dyDescent="0.3">
      <c r="A18" s="106"/>
      <c r="B18" s="16" t="s">
        <v>19</v>
      </c>
      <c r="C18" s="17">
        <v>25</v>
      </c>
      <c r="D18" s="75" t="str">
        <f>IFERROR(SUMIFS('Base de données'!G:G, 'Base de données'!B:B, "Semestre 1", 'Base de données'!D:D, B18) /
SUMIFS('Base de données'!F:F, 'Base de données'!B:B, "Semestre 1", 'Base de données'!D:D, B18), "")</f>
        <v/>
      </c>
      <c r="E18" s="62"/>
      <c r="F18" s="110"/>
      <c r="G18" s="44" t="s">
        <v>51</v>
      </c>
      <c r="H18" s="47">
        <v>10</v>
      </c>
      <c r="I18" s="77" t="str">
        <f>IFERROR(SUMIFS('Base de données'!G:G, 'Base de données'!B:B, "Semestre 2", 'Base de données'!D:D, G18) /
SUMIFS('Base de données'!F:F, 'Base de données'!B:B, "Semestre 2", 'Base de données'!D:D, G18), "")</f>
        <v/>
      </c>
      <c r="J18" s="34"/>
      <c r="K18" s="60"/>
      <c r="L18" s="67"/>
      <c r="M18" s="67"/>
      <c r="N18" s="67"/>
      <c r="O18" s="67"/>
    </row>
    <row r="19" spans="1:15" s="14" customFormat="1" ht="14.4" x14ac:dyDescent="0.3">
      <c r="A19" s="106"/>
      <c r="B19" s="15" t="s">
        <v>6</v>
      </c>
      <c r="C19" s="48">
        <v>5</v>
      </c>
      <c r="D19" s="75" t="str">
        <f>IFERROR(SUMIFS('Base de données'!G:G, 'Base de données'!B:B, "Semestre 1", 'Base de données'!D:D, B19) /
SUMIFS('Base de données'!F:F, 'Base de données'!B:B, "Semestre 1", 'Base de données'!D:D, B19), "")</f>
        <v/>
      </c>
      <c r="E19" s="62"/>
      <c r="F19" s="110"/>
      <c r="G19" s="44" t="s">
        <v>52</v>
      </c>
      <c r="H19" s="47">
        <v>10</v>
      </c>
      <c r="I19" s="77" t="str">
        <f>IFERROR(SUMIFS('Base de données'!G:G, 'Base de données'!B:B, "Semestre 2", 'Base de données'!D:D, G19) /
SUMIFS('Base de données'!F:F, 'Base de données'!B:B, "Semestre 2", 'Base de données'!D:D, G19), "")</f>
        <v/>
      </c>
      <c r="J19" s="34"/>
      <c r="K19" s="60"/>
      <c r="L19" s="67"/>
      <c r="M19" s="67"/>
      <c r="N19" s="67"/>
      <c r="O19" s="67"/>
    </row>
    <row r="20" spans="1:15" s="14" customFormat="1" ht="28.8" x14ac:dyDescent="0.3">
      <c r="A20" s="106"/>
      <c r="B20" s="25" t="s">
        <v>42</v>
      </c>
      <c r="C20" s="48">
        <v>15</v>
      </c>
      <c r="D20" s="75" t="str">
        <f>IFERROR(SUMIFS('Base de données'!G:G, 'Base de données'!B:B, "Semestre 1", 'Base de données'!D:D, B20) /
SUMIFS('Base de données'!F:F, 'Base de données'!B:B, "Semestre 1", 'Base de données'!D:D, B20), "")</f>
        <v/>
      </c>
      <c r="E20" s="62"/>
      <c r="F20" s="110"/>
      <c r="G20" s="25" t="s">
        <v>47</v>
      </c>
      <c r="H20" s="47">
        <v>5</v>
      </c>
      <c r="I20" s="77" t="str">
        <f>IFERROR(SUMIFS('Base de données'!G:G, 'Base de données'!B:B, "Semestre 2", 'Base de données'!D:D, G20) /
SUMIFS('Base de données'!F:F, 'Base de données'!B:B, "Semestre 2", 'Base de données'!D:D, G20), "")</f>
        <v/>
      </c>
      <c r="J20" s="34"/>
      <c r="K20" s="60"/>
      <c r="L20" s="67"/>
      <c r="M20" s="67"/>
      <c r="N20" s="67"/>
      <c r="O20" s="67"/>
    </row>
    <row r="21" spans="1:15" s="14" customFormat="1" ht="28.8" x14ac:dyDescent="0.3">
      <c r="A21" s="106"/>
      <c r="B21" s="25" t="s">
        <v>43</v>
      </c>
      <c r="C21" s="48">
        <v>10</v>
      </c>
      <c r="D21" s="75" t="str">
        <f>IFERROR(SUMIFS('Base de données'!G:G, 'Base de données'!B:B, "Semestre 1", 'Base de données'!D:D, B21) /
SUMIFS('Base de données'!F:F, 'Base de données'!B:B, "Semestre 1", 'Base de données'!D:D, B21), "")</f>
        <v/>
      </c>
      <c r="E21" s="65"/>
      <c r="F21" s="110"/>
      <c r="G21" s="25" t="s">
        <v>48</v>
      </c>
      <c r="H21" s="47">
        <v>10</v>
      </c>
      <c r="I21" s="77" t="str">
        <f>IFERROR(SUMIFS('Base de données'!G:G, 'Base de données'!B:B, "Semestre 2", 'Base de données'!D:D, G21) /
SUMIFS('Base de données'!F:F, 'Base de données'!B:B, "Semestre 2", 'Base de données'!D:D, G21), "")</f>
        <v/>
      </c>
      <c r="J21" s="34"/>
      <c r="K21" s="60"/>
      <c r="L21" s="67"/>
      <c r="M21" s="67"/>
      <c r="N21" s="67"/>
      <c r="O21" s="67"/>
    </row>
    <row r="22" spans="1:15" s="14" customFormat="1" ht="14.4" x14ac:dyDescent="0.3">
      <c r="A22" s="106"/>
      <c r="B22" s="25" t="s">
        <v>44</v>
      </c>
      <c r="C22" s="48">
        <v>15</v>
      </c>
      <c r="D22" s="75" t="str">
        <f>IFERROR(SUMIFS('Base de données'!G:G, 'Base de données'!B:B, "Semestre 1", 'Base de données'!D:D, B22) /
SUMIFS('Base de données'!F:F, 'Base de données'!B:B, "Semestre 1", 'Base de données'!D:D, B22), "")</f>
        <v/>
      </c>
      <c r="E22" s="64"/>
      <c r="F22" s="111"/>
      <c r="G22" s="15" t="s">
        <v>49</v>
      </c>
      <c r="H22" s="51">
        <v>5</v>
      </c>
      <c r="I22" s="77" t="str">
        <f>IFERROR(SUMIFS('Base de données'!G:G, 'Base de données'!B:B, "Semestre 2", 'Base de données'!D:D, G22) /
SUMIFS('Base de données'!F:F, 'Base de données'!B:B, "Semestre 2", 'Base de données'!D:D, G22), "")</f>
        <v/>
      </c>
      <c r="J22" s="34"/>
      <c r="K22" s="60"/>
      <c r="L22" s="67"/>
      <c r="M22" s="67"/>
      <c r="N22" s="67"/>
      <c r="O22" s="67"/>
    </row>
    <row r="23" spans="1:15" s="14" customFormat="1" ht="18.75" customHeight="1" x14ac:dyDescent="0.3">
      <c r="A23" s="97" t="s">
        <v>0</v>
      </c>
      <c r="B23" s="97"/>
      <c r="C23" s="97"/>
      <c r="D23" s="34"/>
      <c r="E23" s="34"/>
      <c r="F23" s="35"/>
      <c r="G23" s="27"/>
      <c r="H23" s="36"/>
      <c r="I23" s="76" t="str">
        <f>IFERROR(SUMIFS('Base de données'!G:G, 'Base de données'!B:B, "Semestre 2", 'Base de données'!D:D, G23) /
SUMIFS('Base de données'!F:F, 'Base de données'!B:B, "Semestre 2", 'Base de données'!D:D, G23), "")</f>
        <v/>
      </c>
      <c r="J23" s="34"/>
      <c r="K23" s="60"/>
      <c r="L23" s="67"/>
      <c r="M23" s="67"/>
      <c r="N23" s="67"/>
      <c r="O23" s="67"/>
    </row>
    <row r="24" spans="1:15" s="14" customFormat="1" ht="15" customHeight="1" x14ac:dyDescent="0.3">
      <c r="A24" s="7" t="s">
        <v>21</v>
      </c>
      <c r="B24" s="8" t="s">
        <v>22</v>
      </c>
      <c r="C24" s="9" t="s">
        <v>23</v>
      </c>
      <c r="D24" s="34"/>
      <c r="E24" s="34"/>
      <c r="F24" s="112" t="s">
        <v>53</v>
      </c>
      <c r="G24" s="31" t="s">
        <v>7</v>
      </c>
      <c r="H24" s="52">
        <v>5</v>
      </c>
      <c r="I24" s="77" t="str">
        <f>IFERROR(SUMIFS('Base de données'!G:G, 'Base de données'!B:B, "Semestre 2", 'Base de données'!D:D, G24) /
SUMIFS('Base de données'!F:F, 'Base de données'!B:B, "Semestre 2", 'Base de données'!D:D, G24), "")</f>
        <v/>
      </c>
      <c r="J24" s="34"/>
      <c r="K24" s="60"/>
      <c r="L24" s="67"/>
      <c r="M24" s="67"/>
      <c r="N24" s="67"/>
      <c r="O24" s="67"/>
    </row>
    <row r="25" spans="1:15" s="14" customFormat="1" ht="14.4" x14ac:dyDescent="0.3">
      <c r="A25" s="10" t="str">
        <f>IFERROR((D3*C3+D4*C4+D5*C5+D6*C6+D7*C7+D8*C8)/SUM(C3:C8),"")</f>
        <v/>
      </c>
      <c r="B25" s="10" t="str">
        <f>IFERROR((D10*C10+D11*C11+D12*C12+D13*C13+D14*C14)/SUM(C10:C14),"")</f>
        <v/>
      </c>
      <c r="C25" s="10" t="str">
        <f>IFERROR((D16*C16+D17*C17+D18*C18+D19*C19+D20*C20+D21*C21+D22*C22)/SUM(C16:C22),"")</f>
        <v/>
      </c>
      <c r="D25" s="34"/>
      <c r="E25" s="34"/>
      <c r="F25" s="113"/>
      <c r="G25" s="32" t="s">
        <v>20</v>
      </c>
      <c r="H25" s="6">
        <v>15</v>
      </c>
      <c r="I25" s="77" t="str">
        <f>IFERROR(SUMIFS('Base de données'!G:G, 'Base de données'!B:B, "Semestre 2", 'Base de données'!D:D, G25) /
SUMIFS('Base de données'!F:F, 'Base de données'!B:B, "Semestre 2", 'Base de données'!D:D, G25), "")</f>
        <v/>
      </c>
      <c r="J25" s="34"/>
      <c r="K25" s="60"/>
      <c r="L25" s="67"/>
      <c r="M25" s="67"/>
      <c r="N25" s="67"/>
      <c r="O25" s="67"/>
    </row>
    <row r="26" spans="1:15" s="14" customFormat="1" ht="15" customHeight="1" x14ac:dyDescent="0.3">
      <c r="A26" s="34"/>
      <c r="B26" s="34"/>
      <c r="C26" s="34"/>
      <c r="D26" s="34"/>
      <c r="E26" s="34"/>
      <c r="F26" s="113"/>
      <c r="G26" s="32" t="s">
        <v>24</v>
      </c>
      <c r="H26" s="6">
        <v>15</v>
      </c>
      <c r="I26" s="77" t="str">
        <f>IFERROR(SUMIFS('Base de données'!G:G, 'Base de données'!B:B, "Semestre 2", 'Base de données'!D:D, G26) /
SUMIFS('Base de données'!F:F, 'Base de données'!B:B, "Semestre 2", 'Base de données'!D:D, G26), "")</f>
        <v/>
      </c>
      <c r="J26" s="34"/>
      <c r="K26" s="60"/>
      <c r="L26" s="67"/>
      <c r="M26" s="67"/>
      <c r="N26" s="67"/>
      <c r="O26" s="67"/>
    </row>
    <row r="27" spans="1:15" s="14" customFormat="1" ht="33" customHeight="1" x14ac:dyDescent="0.3">
      <c r="A27" s="97" t="s">
        <v>1</v>
      </c>
      <c r="B27" s="97"/>
      <c r="C27" s="97"/>
      <c r="D27" s="34"/>
      <c r="E27" s="34"/>
      <c r="F27" s="113"/>
      <c r="G27" s="33" t="s">
        <v>25</v>
      </c>
      <c r="H27" s="5">
        <v>20</v>
      </c>
      <c r="I27" s="77" t="str">
        <f>IFERROR(SUMIFS('Base de données'!G:G, 'Base de données'!B:B, "Semestre 2", 'Base de données'!D:D, G27) /
SUMIFS('Base de données'!F:F, 'Base de données'!B:B, "Semestre 2", 'Base de données'!D:D, G27), "")</f>
        <v/>
      </c>
      <c r="J27" s="34"/>
      <c r="K27" s="60"/>
      <c r="L27" s="67"/>
      <c r="M27" s="67"/>
      <c r="N27" s="67"/>
      <c r="O27" s="67"/>
    </row>
    <row r="28" spans="1:15" s="14" customFormat="1" ht="15" customHeight="1" x14ac:dyDescent="0.3">
      <c r="A28" s="7" t="s">
        <v>21</v>
      </c>
      <c r="B28" s="8" t="s">
        <v>22</v>
      </c>
      <c r="C28" s="9" t="s">
        <v>23</v>
      </c>
      <c r="D28" s="34"/>
      <c r="E28" s="34"/>
      <c r="F28" s="113"/>
      <c r="G28" s="31" t="s">
        <v>48</v>
      </c>
      <c r="H28" s="52">
        <v>20</v>
      </c>
      <c r="I28" s="77" t="str">
        <f>IFERROR(SUMIFS('Base de données'!G:G, 'Base de données'!B:B, "Semestre 2", 'Base de données'!D:D, G28) /
SUMIFS('Base de données'!F:F, 'Base de données'!B:B, "Semestre 2", 'Base de données'!D:D, G28), "")</f>
        <v/>
      </c>
      <c r="J28" s="34"/>
      <c r="K28" s="60"/>
      <c r="L28" s="67"/>
      <c r="M28" s="67"/>
      <c r="N28" s="67"/>
      <c r="O28" s="67"/>
    </row>
    <row r="29" spans="1:15" s="14" customFormat="1" ht="15" customHeight="1" x14ac:dyDescent="0.3">
      <c r="A29" s="10" t="str">
        <f>IFERROR((I3*H3+I4*H4+I6*H6+I5*H5+I7*H7+I8*H8+I9*H9+I10*H10+I11*H11)/SUM(H3:H11),"")</f>
        <v/>
      </c>
      <c r="B29" s="10" t="str">
        <f>IFERROR((I13*H13+I14*H14+I15*H15+I16*H16+I17*H17+I18*H18+I19*H19+I20*H20+I21*H21+I22*H22)/SUM(H13:H22),"")</f>
        <v/>
      </c>
      <c r="C29" s="10" t="str">
        <f>IFERROR((I24*H24+I25*H25+I26*H26+I27*H27+I28*H28+I29*H29+I30*H30+I31*H31)/SUM(H24:H31),"")</f>
        <v/>
      </c>
      <c r="D29" s="34"/>
      <c r="E29" s="34"/>
      <c r="F29" s="113"/>
      <c r="G29" s="33" t="s">
        <v>26</v>
      </c>
      <c r="H29" s="5">
        <v>10</v>
      </c>
      <c r="I29" s="77" t="str">
        <f>IFERROR(SUMIFS('Base de données'!G:G, 'Base de données'!B:B, "Semestre 2", 'Base de données'!D:D, G29) /
SUMIFS('Base de données'!F:F, 'Base de données'!B:B, "Semestre 2", 'Base de données'!D:D, G29), "")</f>
        <v/>
      </c>
      <c r="J29" s="34"/>
      <c r="K29" s="60"/>
      <c r="L29" s="67"/>
      <c r="M29" s="67"/>
      <c r="N29" s="67"/>
      <c r="O29" s="67"/>
    </row>
    <row r="30" spans="1:15" s="14" customFormat="1" ht="15" customHeight="1" x14ac:dyDescent="0.3">
      <c r="A30" s="34"/>
      <c r="B30" s="34"/>
      <c r="C30" s="34"/>
      <c r="D30" s="34"/>
      <c r="E30" s="34"/>
      <c r="F30" s="113"/>
      <c r="G30" s="33" t="s">
        <v>47</v>
      </c>
      <c r="H30" s="5">
        <v>10</v>
      </c>
      <c r="I30" s="77" t="str">
        <f>IFERROR(SUMIFS('Base de données'!G:G, 'Base de données'!B:B, "Semestre 2", 'Base de données'!D:D, G30) /
SUMIFS('Base de données'!F:F, 'Base de données'!B:B, "Semestre 2", 'Base de données'!D:D, G30), "")</f>
        <v/>
      </c>
      <c r="J30" s="34"/>
      <c r="K30" s="60"/>
      <c r="L30" s="67"/>
      <c r="M30" s="67"/>
      <c r="N30" s="67"/>
      <c r="O30" s="67"/>
    </row>
    <row r="31" spans="1:15" s="14" customFormat="1" ht="14.4" x14ac:dyDescent="0.3">
      <c r="A31" s="34"/>
      <c r="B31" s="34"/>
      <c r="C31" s="34"/>
      <c r="D31" s="34"/>
      <c r="E31" s="34"/>
      <c r="F31" s="114"/>
      <c r="G31" s="31" t="s">
        <v>49</v>
      </c>
      <c r="H31" s="52">
        <v>5</v>
      </c>
      <c r="I31" s="77" t="str">
        <f>IFERROR(SUMIFS('Base de données'!G:G, 'Base de données'!B:B, "Semestre 2", 'Base de données'!D:D, G31) /
SUMIFS('Base de données'!F:F, 'Base de données'!B:B, "Semestre 2", 'Base de données'!D:D, G31), "")</f>
        <v/>
      </c>
      <c r="J31" s="34"/>
      <c r="K31" s="60"/>
      <c r="L31" s="67"/>
      <c r="M31" s="67"/>
      <c r="N31" s="67"/>
      <c r="O31" s="67"/>
    </row>
    <row r="32" spans="1:15" s="14" customFormat="1" ht="18" x14ac:dyDescent="0.3">
      <c r="A32" s="98" t="s">
        <v>27</v>
      </c>
      <c r="B32" s="98"/>
      <c r="C32" s="99"/>
      <c r="D32" s="34"/>
      <c r="E32" s="34"/>
      <c r="F32" s="34"/>
      <c r="G32" s="34"/>
      <c r="H32" s="34"/>
      <c r="I32" s="34"/>
      <c r="J32" s="34"/>
      <c r="K32" s="60"/>
      <c r="L32" s="67"/>
      <c r="M32" s="67"/>
      <c r="N32" s="67"/>
      <c r="O32" s="67"/>
    </row>
    <row r="33" spans="1:15" s="14" customFormat="1" ht="14.4" x14ac:dyDescent="0.3">
      <c r="A33" s="7" t="s">
        <v>21</v>
      </c>
      <c r="B33" s="8" t="s">
        <v>22</v>
      </c>
      <c r="C33" s="9" t="s">
        <v>23</v>
      </c>
      <c r="D33" s="11" t="s">
        <v>28</v>
      </c>
      <c r="E33" s="34"/>
      <c r="F33" s="66"/>
      <c r="G33" s="34"/>
      <c r="H33" s="34"/>
      <c r="I33" s="34"/>
      <c r="J33" s="34"/>
      <c r="K33" s="60"/>
      <c r="L33" s="67"/>
      <c r="M33" s="67"/>
      <c r="N33" s="67"/>
      <c r="O33" s="67"/>
    </row>
    <row r="34" spans="1:15" s="14" customFormat="1" ht="14.4" x14ac:dyDescent="0.3">
      <c r="A34" s="10" t="str">
        <f>IFERROR(AVERAGE(A25,A29)-E2,"")</f>
        <v/>
      </c>
      <c r="B34" s="10" t="str">
        <f>IFERROR(AVERAGE(B25,B29)-E2,"")</f>
        <v/>
      </c>
      <c r="C34" s="10" t="str">
        <f>IFERROR(AVERAGE(C25,C29)-E2,"")</f>
        <v/>
      </c>
      <c r="D34" s="10" t="str">
        <f>IFERROR(AVERAGE(A34:C34),"")</f>
        <v/>
      </c>
      <c r="E34" s="34"/>
      <c r="F34" s="66"/>
      <c r="G34" s="71" t="s">
        <v>56</v>
      </c>
      <c r="H34" s="34"/>
      <c r="I34" s="34"/>
      <c r="J34" s="34"/>
      <c r="K34" s="60"/>
      <c r="L34" s="67"/>
      <c r="M34" s="67"/>
      <c r="N34" s="67"/>
      <c r="O34" s="67"/>
    </row>
    <row r="35" spans="1:15" s="14" customFormat="1" ht="21.6" customHeight="1" x14ac:dyDescent="0.3">
      <c r="A35" s="12" t="str">
        <f>IFERROR(IF(A34&gt;=10,"NIVEAU 1 : ACQUIS","NIVEAU 1 : NON-ACQUIS"),"")</f>
        <v>NIVEAU 1 : ACQUIS</v>
      </c>
      <c r="B35" s="12" t="str">
        <f>IFERROR(IF(B34&gt;=10,"NIVEAU 1 : ACQUIS","NIVEAU 1 : NON-ACQUIS"),"")</f>
        <v>NIVEAU 1 : ACQUIS</v>
      </c>
      <c r="C35" s="13" t="str">
        <f>IFERROR(IF(C34&gt;=10,"NIVEAU 1 : ACQUIS","NIVEAU 1 : NON-ACQUIS"),"")</f>
        <v>NIVEAU 1 : ACQUIS</v>
      </c>
      <c r="D35" s="67"/>
      <c r="E35" s="34"/>
      <c r="F35" s="34"/>
      <c r="G35" s="72" t="str">
        <f>IFERROR(IF(AND(E1=0, OR(AND(A34&gt;=10, B34&gt;=10, C34&gt;=8), AND(A34&gt;=10, B34&gt;=8, C34&gt;=10), AND(A34&gt;=8, B34&gt;=10, C34&gt;=10))), "Félicitations, tu passes en deuxième année !", "Dommage, tu ne passes pas en deuxième année!"), "Erreur : données invalides")</f>
        <v>Félicitations, tu passes en deuxième année !</v>
      </c>
      <c r="H35" s="34"/>
      <c r="I35" s="34"/>
      <c r="J35" s="34"/>
      <c r="K35" s="60"/>
      <c r="L35" s="67"/>
      <c r="M35" s="67"/>
      <c r="N35" s="67"/>
      <c r="O35" s="67"/>
    </row>
    <row r="36" spans="1:15" s="14" customFormat="1" ht="14.4" x14ac:dyDescent="0.3">
      <c r="A36" s="68"/>
      <c r="B36" s="68"/>
      <c r="C36" s="68"/>
      <c r="D36" s="34"/>
      <c r="E36" s="34"/>
      <c r="F36" s="34"/>
      <c r="G36" s="34"/>
      <c r="H36" s="34"/>
      <c r="I36" s="34"/>
      <c r="J36" s="34"/>
      <c r="K36" s="60"/>
      <c r="L36" s="67"/>
      <c r="M36" s="67"/>
      <c r="N36" s="67"/>
      <c r="O36" s="67"/>
    </row>
    <row r="37" spans="1:15" s="14" customFormat="1" ht="14.4" x14ac:dyDescent="0.3">
      <c r="A37" s="34"/>
      <c r="B37" s="34"/>
      <c r="C37" s="34"/>
      <c r="D37" s="34"/>
      <c r="E37" s="34"/>
      <c r="F37" s="34"/>
      <c r="G37" s="34"/>
      <c r="H37" s="34"/>
      <c r="I37" s="34"/>
      <c r="J37"/>
      <c r="K37" s="60"/>
      <c r="L37" s="67"/>
      <c r="M37" s="67"/>
      <c r="N37" s="67"/>
      <c r="O37" s="67"/>
    </row>
    <row r="38" spans="1:15" s="67" customFormat="1" ht="14.4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60"/>
    </row>
    <row r="39" spans="1:15" s="67" customFormat="1" ht="8.4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60"/>
    </row>
    <row r="40" spans="1:15" s="67" customFormat="1" ht="15" customHeight="1" thickBot="1" x14ac:dyDescent="0.3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61"/>
    </row>
    <row r="41" spans="1:15" ht="19.95" customHeight="1" thickTop="1" x14ac:dyDescent="0.3"/>
    <row r="42" spans="1:15" ht="19.95" customHeight="1" x14ac:dyDescent="0.3">
      <c r="A42" s="95" t="str">
        <f>A3</f>
        <v>Compétence 1 :
Traiter des données à des fins décisionnelles</v>
      </c>
      <c r="B42" s="95" t="str">
        <f>A10</f>
        <v>Compétence 2 :
Analyser statistiquement les données</v>
      </c>
      <c r="C42" s="95" t="str">
        <f>A16</f>
        <v>Compétence 3 :
Valoriser une production dans un contexte professionnel</v>
      </c>
    </row>
    <row r="43" spans="1:15" ht="19.95" customHeight="1" x14ac:dyDescent="0.3">
      <c r="A43" s="96" t="str">
        <f>D3</f>
        <v/>
      </c>
      <c r="B43" s="96" t="str">
        <f>D10</f>
        <v/>
      </c>
      <c r="C43" s="96" t="str">
        <f>D16</f>
        <v/>
      </c>
    </row>
    <row r="44" spans="1:15" ht="19.95" customHeight="1" x14ac:dyDescent="0.3">
      <c r="A44" s="96" t="str">
        <f t="shared" ref="A44:A48" si="0">D4</f>
        <v/>
      </c>
      <c r="B44" s="96" t="str">
        <f t="shared" ref="B44:B47" si="1">D11</f>
        <v/>
      </c>
      <c r="C44" s="96" t="str">
        <f t="shared" ref="C44:C49" si="2">D17</f>
        <v/>
      </c>
    </row>
    <row r="45" spans="1:15" ht="19.95" customHeight="1" x14ac:dyDescent="0.3">
      <c r="A45" s="96" t="str">
        <f t="shared" si="0"/>
        <v/>
      </c>
      <c r="B45" s="96" t="str">
        <f t="shared" si="1"/>
        <v/>
      </c>
      <c r="C45" s="96" t="str">
        <f t="shared" si="2"/>
        <v/>
      </c>
    </row>
    <row r="46" spans="1:15" ht="19.95" customHeight="1" x14ac:dyDescent="0.3">
      <c r="A46" s="96" t="str">
        <f t="shared" si="0"/>
        <v/>
      </c>
      <c r="B46" s="96" t="str">
        <f t="shared" si="1"/>
        <v/>
      </c>
      <c r="C46" s="96" t="str">
        <f t="shared" si="2"/>
        <v/>
      </c>
    </row>
    <row r="47" spans="1:15" ht="19.95" customHeight="1" x14ac:dyDescent="0.3">
      <c r="A47" s="96" t="str">
        <f t="shared" si="0"/>
        <v/>
      </c>
      <c r="B47" s="96" t="str">
        <f t="shared" si="1"/>
        <v/>
      </c>
      <c r="C47" s="96" t="str">
        <f t="shared" si="2"/>
        <v/>
      </c>
    </row>
    <row r="48" spans="1:15" ht="19.95" customHeight="1" x14ac:dyDescent="0.3">
      <c r="A48" s="96" t="str">
        <f t="shared" si="0"/>
        <v/>
      </c>
      <c r="B48" s="96"/>
      <c r="C48" s="96" t="str">
        <f t="shared" si="2"/>
        <v/>
      </c>
    </row>
    <row r="49" spans="1:3" ht="19.95" customHeight="1" x14ac:dyDescent="0.3">
      <c r="C49" s="96" t="str">
        <f t="shared" si="2"/>
        <v/>
      </c>
    </row>
    <row r="50" spans="1:3" ht="19.95" customHeight="1" x14ac:dyDescent="0.3"/>
    <row r="51" spans="1:3" ht="19.95" customHeight="1" x14ac:dyDescent="0.3">
      <c r="A51" s="95" t="str">
        <f>B3</f>
        <v>Tableur et Reporting</v>
      </c>
      <c r="B51" s="96" t="str">
        <f>D3</f>
        <v/>
      </c>
    </row>
    <row r="52" spans="1:3" ht="19.95" customHeight="1" x14ac:dyDescent="0.3">
      <c r="A52" s="95" t="str">
        <f t="shared" ref="A52:A56" si="3">B4</f>
        <v>Bases de données relationnelles 1</v>
      </c>
      <c r="B52" s="96" t="str">
        <f t="shared" ref="B52:B56" si="4">D4</f>
        <v/>
      </c>
    </row>
    <row r="53" spans="1:3" ht="19.95" customHeight="1" x14ac:dyDescent="0.3">
      <c r="A53" s="95" t="str">
        <f t="shared" si="3"/>
        <v>Bases de la programmation 1</v>
      </c>
      <c r="B53" s="96" t="str">
        <f t="shared" si="4"/>
        <v/>
      </c>
    </row>
    <row r="54" spans="1:3" ht="19.95" customHeight="1" x14ac:dyDescent="0.3">
      <c r="A54" s="95" t="str">
        <f t="shared" si="3"/>
        <v>PPP1</v>
      </c>
      <c r="B54" s="96" t="str">
        <f t="shared" si="4"/>
        <v/>
      </c>
    </row>
    <row r="55" spans="1:3" ht="19.95" customHeight="1" x14ac:dyDescent="0.3">
      <c r="A55" s="95" t="str">
        <f t="shared" si="3"/>
        <v xml:space="preserve">SAÉ - Reporting à partir de données stockées dans un SGBD relationnel </v>
      </c>
      <c r="B55" s="96" t="str">
        <f t="shared" si="4"/>
        <v/>
      </c>
    </row>
    <row r="56" spans="1:3" ht="19.95" customHeight="1" x14ac:dyDescent="0.3">
      <c r="A56" s="95" t="str">
        <f t="shared" si="3"/>
        <v>SAÉ - Écriture et lecture de fichiers de données</v>
      </c>
      <c r="B56" s="96" t="str">
        <f t="shared" si="4"/>
        <v/>
      </c>
    </row>
    <row r="57" spans="1:3" ht="19.95" customHeight="1" x14ac:dyDescent="0.3"/>
    <row r="58" spans="1:3" ht="19.95" customHeight="1" x14ac:dyDescent="0.3"/>
    <row r="59" spans="1:3" ht="19.95" customHeight="1" x14ac:dyDescent="0.3">
      <c r="A59" s="95" t="str">
        <f>B10</f>
        <v>Statistique descriptive 1</v>
      </c>
      <c r="B59" s="96" t="str">
        <f>D10</f>
        <v/>
      </c>
    </row>
    <row r="60" spans="1:3" ht="19.95" customHeight="1" x14ac:dyDescent="0.3">
      <c r="A60" s="95" t="str">
        <f t="shared" ref="A60:A63" si="5">B11</f>
        <v>Probabilités 1</v>
      </c>
      <c r="B60" s="96" t="str">
        <f t="shared" ref="B60:B63" si="6">D11</f>
        <v/>
      </c>
    </row>
    <row r="61" spans="1:3" ht="19.95" customHeight="1" x14ac:dyDescent="0.3">
      <c r="A61" s="95" t="str">
        <f t="shared" si="5"/>
        <v>Mathématiques - analyse</v>
      </c>
      <c r="B61" s="96" t="str">
        <f t="shared" si="6"/>
        <v/>
      </c>
    </row>
    <row r="62" spans="1:3" ht="19.95" customHeight="1" x14ac:dyDescent="0.3">
      <c r="A62" s="95" t="str">
        <f t="shared" si="5"/>
        <v>PPP1</v>
      </c>
      <c r="B62" s="96" t="str">
        <f t="shared" si="6"/>
        <v/>
      </c>
    </row>
    <row r="63" spans="1:3" ht="19.95" customHeight="1" x14ac:dyDescent="0.3">
      <c r="A63" s="95" t="str">
        <f t="shared" si="5"/>
        <v>SAÉ - Préparation et synthèse d'un tableau de données en vue d'une analyse exploratoire simple</v>
      </c>
      <c r="B63" s="96" t="str">
        <f t="shared" si="6"/>
        <v/>
      </c>
    </row>
    <row r="64" spans="1:3" ht="19.95" customHeight="1" x14ac:dyDescent="0.3"/>
    <row r="65" spans="1:8" ht="19.95" customHeight="1" x14ac:dyDescent="0.3">
      <c r="A65" s="95" t="str">
        <f>B16</f>
        <v>Initiation à l'anglais de spécialité</v>
      </c>
      <c r="B65" s="96" t="str">
        <f>D16</f>
        <v/>
      </c>
    </row>
    <row r="66" spans="1:8" ht="19.95" customHeight="1" x14ac:dyDescent="0.3">
      <c r="A66" s="95" t="str">
        <f t="shared" ref="A66:A71" si="7">B17</f>
        <v>Communication de l'information et recherche documentaire</v>
      </c>
      <c r="B66" s="96" t="str">
        <f t="shared" ref="B66:B71" si="8">D17</f>
        <v/>
      </c>
    </row>
    <row r="67" spans="1:8" ht="19.95" customHeight="1" x14ac:dyDescent="0.3">
      <c r="A67" s="95" t="str">
        <f t="shared" si="7"/>
        <v xml:space="preserve">Découverte des données de l’environnement entrepreneurial et économique </v>
      </c>
      <c r="B67" s="96" t="str">
        <f t="shared" si="8"/>
        <v/>
      </c>
      <c r="C67" s="95" t="str">
        <f>G3</f>
        <v>Reporting et datavisualisation</v>
      </c>
      <c r="D67" s="96" t="str">
        <f>I3</f>
        <v/>
      </c>
      <c r="E67" s="95" t="str">
        <f>G13</f>
        <v>Statistique descriptive 2</v>
      </c>
      <c r="F67" s="96" t="str">
        <f>I13</f>
        <v/>
      </c>
      <c r="G67" s="95" t="str">
        <f>G24</f>
        <v>PPP2</v>
      </c>
      <c r="H67" s="96" t="str">
        <f>I24</f>
        <v/>
      </c>
    </row>
    <row r="68" spans="1:8" ht="19.95" customHeight="1" x14ac:dyDescent="0.3">
      <c r="A68" s="95" t="str">
        <f t="shared" si="7"/>
        <v>PPP1</v>
      </c>
      <c r="B68" s="96" t="str">
        <f t="shared" si="8"/>
        <v/>
      </c>
      <c r="C68" s="95" t="str">
        <f t="shared" ref="C68:C75" si="9">G4</f>
        <v>Bases de données relationnelles 2</v>
      </c>
      <c r="D68" s="96" t="str">
        <f t="shared" ref="D68:D75" si="10">I4</f>
        <v/>
      </c>
      <c r="E68" s="95" t="str">
        <f t="shared" ref="E68:E76" si="11">G14</f>
        <v>Probabilités 2</v>
      </c>
      <c r="F68" s="96" t="str">
        <f t="shared" ref="F68:F76" si="12">I14</f>
        <v/>
      </c>
      <c r="G68" s="95" t="str">
        <f t="shared" ref="G68:G74" si="13">G25</f>
        <v>Approfondissement de l'anglais de spécialité</v>
      </c>
      <c r="H68" s="96" t="str">
        <f t="shared" ref="H68:H74" si="14">I25</f>
        <v/>
      </c>
    </row>
    <row r="69" spans="1:8" ht="19.95" customHeight="1" x14ac:dyDescent="0.3">
      <c r="A69" s="95" t="str">
        <f t="shared" si="7"/>
        <v>SAÉ - Apprendre en situation la production de données en entreprise</v>
      </c>
      <c r="B69" s="96" t="str">
        <f t="shared" si="8"/>
        <v/>
      </c>
      <c r="C69" s="95" t="str">
        <f t="shared" si="9"/>
        <v>Bases de la programmation 2</v>
      </c>
      <c r="D69" s="96" t="str">
        <f t="shared" si="10"/>
        <v/>
      </c>
      <c r="E69" s="95" t="str">
        <f t="shared" si="11"/>
        <v>Bases de l'algèbre</v>
      </c>
      <c r="F69" s="96" t="str">
        <f t="shared" si="12"/>
        <v/>
      </c>
      <c r="G69" s="95" t="str">
        <f t="shared" si="13"/>
        <v>Communication, sémiologie et argumentation</v>
      </c>
      <c r="H69" s="96" t="str">
        <f t="shared" si="14"/>
        <v/>
      </c>
    </row>
    <row r="70" spans="1:8" ht="19.95" customHeight="1" x14ac:dyDescent="0.3">
      <c r="A70" s="95" t="str">
        <f t="shared" si="7"/>
        <v>SAÉ - Présentation en anglais d'un territoire économique et culturel</v>
      </c>
      <c r="B70" s="96" t="str">
        <f t="shared" si="8"/>
        <v/>
      </c>
      <c r="C70" s="95" t="str">
        <f t="shared" si="9"/>
        <v>Programmation statistique</v>
      </c>
      <c r="D70" s="96" t="str">
        <f t="shared" si="10"/>
        <v/>
      </c>
      <c r="E70" s="95" t="str">
        <f t="shared" si="11"/>
        <v>Statistique inférentielle</v>
      </c>
      <c r="F70" s="96" t="str">
        <f t="shared" si="12"/>
        <v/>
      </c>
      <c r="G70" s="95" t="str">
        <f t="shared" si="13"/>
        <v>Etude des données de l'environnement entrepreneurial et économique</v>
      </c>
      <c r="H70" s="96" t="str">
        <f t="shared" si="14"/>
        <v/>
      </c>
    </row>
    <row r="71" spans="1:8" ht="19.95" customHeight="1" x14ac:dyDescent="0.3">
      <c r="A71" s="95" t="str">
        <f t="shared" si="7"/>
        <v>SAÉ - Mise en oeuvre d'une enquête</v>
      </c>
      <c r="B71" s="96" t="str">
        <f t="shared" si="8"/>
        <v/>
      </c>
      <c r="C71" s="95" t="str">
        <f t="shared" si="9"/>
        <v>PPP2</v>
      </c>
      <c r="D71" s="96" t="str">
        <f t="shared" si="10"/>
        <v/>
      </c>
      <c r="E71" s="95" t="str">
        <f t="shared" si="11"/>
        <v>PPP2</v>
      </c>
      <c r="F71" s="96" t="str">
        <f t="shared" si="12"/>
        <v/>
      </c>
      <c r="G71" s="95" t="str">
        <f t="shared" si="13"/>
        <v>SAÉ - Analyse de données, reporting et datavisualisation</v>
      </c>
      <c r="H71" s="96" t="str">
        <f t="shared" si="14"/>
        <v/>
      </c>
    </row>
    <row r="72" spans="1:8" ht="19.95" customHeight="1" x14ac:dyDescent="0.3">
      <c r="C72" s="95" t="str">
        <f t="shared" si="9"/>
        <v>SAÉ - Conception et implémentation d'une base de données</v>
      </c>
      <c r="D72" s="96" t="str">
        <f t="shared" si="10"/>
        <v/>
      </c>
      <c r="E72" s="95" t="str">
        <f t="shared" si="11"/>
        <v>SAÉ - Estimation par échantillonnage</v>
      </c>
      <c r="F72" s="96" t="str">
        <f t="shared" si="12"/>
        <v/>
      </c>
      <c r="G72" s="95" t="str">
        <f t="shared" si="13"/>
        <v>SAE - Construction et présentation d’indicateurs de performance</v>
      </c>
      <c r="H72" s="96" t="str">
        <f t="shared" si="14"/>
        <v/>
      </c>
    </row>
    <row r="73" spans="1:8" ht="19.95" customHeight="1" x14ac:dyDescent="0.3">
      <c r="A73" s="95" t="str">
        <f>G3</f>
        <v>Reporting et datavisualisation</v>
      </c>
      <c r="B73" s="96" t="str">
        <f>I3</f>
        <v/>
      </c>
      <c r="C73" s="95" t="str">
        <f t="shared" si="9"/>
        <v>SAÉ - Datavisualisation</v>
      </c>
      <c r="D73" s="96" t="str">
        <f t="shared" si="10"/>
        <v/>
      </c>
      <c r="E73" s="95" t="str">
        <f t="shared" si="11"/>
        <v>SAÉ - Régression sur des données réelles</v>
      </c>
      <c r="F73" s="96" t="str">
        <f t="shared" si="12"/>
        <v/>
      </c>
      <c r="G73" s="95" t="str">
        <f t="shared" si="13"/>
        <v>SAÉ - Datavisualisation</v>
      </c>
      <c r="H73" s="96" t="str">
        <f t="shared" si="14"/>
        <v/>
      </c>
    </row>
    <row r="74" spans="1:8" ht="19.95" customHeight="1" x14ac:dyDescent="0.3">
      <c r="A74" s="95" t="str">
        <f t="shared" ref="A74:A81" si="15">G4</f>
        <v>Bases de données relationnelles 2</v>
      </c>
      <c r="B74" s="96" t="str">
        <f t="shared" ref="B74:B81" si="16">I4</f>
        <v/>
      </c>
      <c r="C74" s="95" t="str">
        <f t="shared" si="9"/>
        <v>SAÉ - Analyse de données, reporting et datavisualisation</v>
      </c>
      <c r="D74" s="96" t="str">
        <f t="shared" si="10"/>
        <v/>
      </c>
      <c r="E74" s="95" t="str">
        <f t="shared" si="11"/>
        <v>SAÉ - Datavisualisation</v>
      </c>
      <c r="F74" s="96" t="str">
        <f t="shared" si="12"/>
        <v/>
      </c>
      <c r="G74" s="95" t="str">
        <f t="shared" si="13"/>
        <v>SAÉ - Portfolio</v>
      </c>
      <c r="H74" s="96" t="str">
        <f t="shared" si="14"/>
        <v/>
      </c>
    </row>
    <row r="75" spans="1:8" ht="19.95" customHeight="1" x14ac:dyDescent="0.3">
      <c r="A75" s="95" t="str">
        <f t="shared" si="15"/>
        <v>Bases de la programmation 2</v>
      </c>
      <c r="B75" s="96" t="str">
        <f t="shared" si="16"/>
        <v/>
      </c>
      <c r="C75" s="95" t="str">
        <f t="shared" si="9"/>
        <v>SAÉ - Portfolio</v>
      </c>
      <c r="D75" s="96" t="str">
        <f t="shared" si="10"/>
        <v/>
      </c>
      <c r="E75" s="95" t="str">
        <f t="shared" si="11"/>
        <v>SAÉ - Analyse de données, reporting et datavisualisation</v>
      </c>
      <c r="F75" s="96" t="str">
        <f t="shared" si="12"/>
        <v/>
      </c>
    </row>
    <row r="76" spans="1:8" ht="19.95" customHeight="1" x14ac:dyDescent="0.3">
      <c r="A76" s="95" t="str">
        <f t="shared" si="15"/>
        <v>Programmation statistique</v>
      </c>
      <c r="B76" s="96" t="str">
        <f t="shared" si="16"/>
        <v/>
      </c>
      <c r="E76" s="95" t="str">
        <f t="shared" si="11"/>
        <v>SAÉ - Portfolio</v>
      </c>
      <c r="F76" s="96" t="str">
        <f t="shared" si="12"/>
        <v/>
      </c>
    </row>
    <row r="77" spans="1:8" ht="19.95" customHeight="1" x14ac:dyDescent="0.3">
      <c r="A77" s="95" t="str">
        <f t="shared" si="15"/>
        <v>PPP2</v>
      </c>
      <c r="B77" s="96" t="str">
        <f t="shared" si="16"/>
        <v/>
      </c>
    </row>
    <row r="78" spans="1:8" ht="19.95" customHeight="1" x14ac:dyDescent="0.3">
      <c r="A78" s="95" t="str">
        <f t="shared" si="15"/>
        <v>SAÉ - Conception et implémentation d'une base de données</v>
      </c>
      <c r="B78" s="96" t="str">
        <f t="shared" si="16"/>
        <v/>
      </c>
    </row>
    <row r="79" spans="1:8" ht="19.95" customHeight="1" x14ac:dyDescent="0.3">
      <c r="A79" s="95" t="str">
        <f t="shared" si="15"/>
        <v>SAÉ - Datavisualisation</v>
      </c>
      <c r="B79" s="96" t="str">
        <f t="shared" si="16"/>
        <v/>
      </c>
    </row>
    <row r="80" spans="1:8" ht="19.95" customHeight="1" x14ac:dyDescent="0.3">
      <c r="A80" s="95" t="str">
        <f t="shared" si="15"/>
        <v>SAÉ - Analyse de données, reporting et datavisualisation</v>
      </c>
      <c r="B80" s="96" t="str">
        <f t="shared" si="16"/>
        <v/>
      </c>
    </row>
    <row r="81" spans="1:2" ht="19.95" customHeight="1" x14ac:dyDescent="0.3">
      <c r="A81" s="95" t="str">
        <f t="shared" si="15"/>
        <v>SAÉ - Portfolio</v>
      </c>
      <c r="B81" s="96" t="str">
        <f t="shared" si="16"/>
        <v/>
      </c>
    </row>
    <row r="82" spans="1:2" ht="19.95" customHeight="1" x14ac:dyDescent="0.3"/>
    <row r="83" spans="1:2" ht="19.95" customHeight="1" x14ac:dyDescent="0.3"/>
    <row r="84" spans="1:2" ht="19.95" customHeight="1" x14ac:dyDescent="0.3">
      <c r="A84" s="95" t="s">
        <v>0</v>
      </c>
      <c r="B84" s="95" t="s">
        <v>1</v>
      </c>
    </row>
    <row r="85" spans="1:2" ht="19.95" customHeight="1" x14ac:dyDescent="0.3">
      <c r="A85" s="95">
        <f>IFERROR(SUM(A25:C25)/3,"")</f>
        <v>0</v>
      </c>
      <c r="B85" s="95">
        <f>IFERROR(SUM(A29:C29)/3,"")</f>
        <v>0</v>
      </c>
    </row>
    <row r="86" spans="1:2" ht="19.95" customHeight="1" x14ac:dyDescent="0.3"/>
    <row r="87" spans="1:2" ht="19.95" customHeight="1" x14ac:dyDescent="0.3"/>
    <row r="88" spans="1:2" ht="19.95" customHeight="1" x14ac:dyDescent="0.3"/>
    <row r="89" spans="1:2" ht="19.95" customHeight="1" x14ac:dyDescent="0.3"/>
    <row r="90" spans="1:2" ht="19.95" customHeight="1" x14ac:dyDescent="0.3"/>
    <row r="91" spans="1:2" ht="19.95" customHeight="1" x14ac:dyDescent="0.3"/>
    <row r="92" spans="1:2" ht="19.95" customHeight="1" x14ac:dyDescent="0.3"/>
    <row r="93" spans="1:2" ht="19.95" customHeight="1" x14ac:dyDescent="0.3"/>
    <row r="94" spans="1:2" ht="19.95" customHeight="1" x14ac:dyDescent="0.3"/>
    <row r="95" spans="1:2" ht="19.95" customHeight="1" x14ac:dyDescent="0.3"/>
    <row r="96" spans="1:2" ht="19.95" customHeight="1" x14ac:dyDescent="0.3"/>
    <row r="97" ht="19.95" customHeight="1" x14ac:dyDescent="0.3"/>
  </sheetData>
  <sheetProtection sheet="1" objects="1" scenarios="1"/>
  <mergeCells count="11">
    <mergeCell ref="A1:D1"/>
    <mergeCell ref="F1:I1"/>
    <mergeCell ref="A23:C23"/>
    <mergeCell ref="A27:C27"/>
    <mergeCell ref="A32:C32"/>
    <mergeCell ref="A3:A8"/>
    <mergeCell ref="A10:A14"/>
    <mergeCell ref="A16:A22"/>
    <mergeCell ref="F3:F11"/>
    <mergeCell ref="F13:F22"/>
    <mergeCell ref="F24:F31"/>
  </mergeCells>
  <conditionalFormatting sqref="A25:C25">
    <cfRule type="cellIs" dxfId="10" priority="9" operator="between">
      <formula>8</formula>
      <formula>10</formula>
    </cfRule>
    <cfRule type="cellIs" dxfId="9" priority="10" operator="lessThan">
      <formula>8</formula>
    </cfRule>
    <cfRule type="cellIs" dxfId="8" priority="11" operator="greaterThan">
      <formula>10</formula>
    </cfRule>
  </conditionalFormatting>
  <conditionalFormatting sqref="A29:C29">
    <cfRule type="cellIs" dxfId="7" priority="6" operator="between">
      <formula>8</formula>
      <formula>10</formula>
    </cfRule>
    <cfRule type="cellIs" dxfId="6" priority="7" operator="lessThan">
      <formula>8</formula>
    </cfRule>
    <cfRule type="cellIs" dxfId="5" priority="8" operator="greaterThan">
      <formula>10</formula>
    </cfRule>
  </conditionalFormatting>
  <conditionalFormatting sqref="A34:C34">
    <cfRule type="cellIs" dxfId="4" priority="3" operator="greaterThan">
      <formula>10</formula>
    </cfRule>
    <cfRule type="cellIs" dxfId="3" priority="4" operator="lessThan">
      <formula>8</formula>
    </cfRule>
    <cfRule type="cellIs" dxfId="2" priority="5" operator="between">
      <formula>8</formula>
      <formula>10</formula>
    </cfRule>
  </conditionalFormatting>
  <conditionalFormatting sqref="D34">
    <cfRule type="cellIs" dxfId="1" priority="1" operator="equal">
      <formula>10</formula>
    </cfRule>
    <cfRule type="cellIs" dxfId="0" priority="2" operator="greaterThan">
      <formula>10</formula>
    </cfRule>
  </conditionalFormatting>
  <pageMargins left="0.7" right="0.7" top="0.75" bottom="0.75" header="0.3" footer="0.3"/>
  <pageSetup paperSize="9" orientation="portrait" verticalDpi="0" r:id="rId1"/>
  <ignoredErrors>
    <ignoredError sqref="A25" unlockedFormula="1"/>
  </ignoredError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4</xdr:col>
                <xdr:colOff>525780</xdr:colOff>
                <xdr:row>33</xdr:row>
                <xdr:rowOff>15240</xdr:rowOff>
              </from>
              <to>
                <xdr:col>5</xdr:col>
                <xdr:colOff>1539240</xdr:colOff>
                <xdr:row>35</xdr:row>
                <xdr:rowOff>53340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AccederMenu">
          <controlPr defaultSize="0" autoLine="0" r:id="rId7">
            <anchor moveWithCells="1">
              <from>
                <xdr:col>7</xdr:col>
                <xdr:colOff>297180</xdr:colOff>
                <xdr:row>31</xdr:row>
                <xdr:rowOff>167640</xdr:rowOff>
              </from>
              <to>
                <xdr:col>9</xdr:col>
                <xdr:colOff>68580</xdr:colOff>
                <xdr:row>36</xdr:row>
                <xdr:rowOff>121920</xdr:rowOff>
              </to>
            </anchor>
          </controlPr>
        </control>
      </mc:Choice>
      <mc:Fallback>
        <control shapeId="4098" r:id="rId6" name="AccederMenu"/>
      </mc:Fallback>
    </mc:AlternateContent>
    <mc:AlternateContent xmlns:mc="http://schemas.openxmlformats.org/markup-compatibility/2006">
      <mc:Choice Requires="x14">
        <control shapeId="4102" r:id="rId8" name="btn_abi">
          <controlPr defaultSize="0" autoLine="0" r:id="rId9">
            <anchor moveWithCells="1">
              <from>
                <xdr:col>3</xdr:col>
                <xdr:colOff>327660</xdr:colOff>
                <xdr:row>24</xdr:row>
                <xdr:rowOff>15240</xdr:rowOff>
              </from>
              <to>
                <xdr:col>4</xdr:col>
                <xdr:colOff>464820</xdr:colOff>
                <xdr:row>29</xdr:row>
                <xdr:rowOff>175260</xdr:rowOff>
              </to>
            </anchor>
          </controlPr>
        </control>
      </mc:Choice>
      <mc:Fallback>
        <control shapeId="4102" r:id="rId8" name="btn_ab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A3E51-6CDB-4615-B35A-A4EFB0DCB9F2}">
  <sheetPr codeName="Feuil3"/>
  <dimension ref="A1:XFC404"/>
  <sheetViews>
    <sheetView zoomScale="70" zoomScaleNormal="70" workbookViewId="0">
      <selection activeCell="D4" sqref="D4"/>
    </sheetView>
  </sheetViews>
  <sheetFormatPr baseColWidth="10" defaultColWidth="0" defaultRowHeight="14.4" zeroHeight="1" x14ac:dyDescent="0.3"/>
  <cols>
    <col min="1" max="1" width="10.109375" style="69" bestFit="1" customWidth="1"/>
    <col min="2" max="2" width="13.109375" style="69" customWidth="1"/>
    <col min="3" max="3" width="15" style="69" customWidth="1"/>
    <col min="4" max="4" width="25.5546875" style="69" customWidth="1"/>
    <col min="5" max="5" width="5.44140625" style="69" bestFit="1" customWidth="1"/>
    <col min="6" max="6" width="15.44140625" style="69" bestFit="1" customWidth="1"/>
    <col min="7" max="7" width="10.77734375" style="69" customWidth="1"/>
    <col min="8" max="8" width="6.44140625" style="81" customWidth="1"/>
    <col min="9" max="9" width="23.5546875" style="69" customWidth="1"/>
    <col min="10" max="16383" width="10.77734375" hidden="1"/>
    <col min="16384" max="16384" width="0.21875" hidden="1" customWidth="1"/>
  </cols>
  <sheetData>
    <row r="1" spans="1:9" x14ac:dyDescent="0.3">
      <c r="A1" s="74" t="s">
        <v>29</v>
      </c>
      <c r="B1" s="74" t="s">
        <v>30</v>
      </c>
      <c r="C1" s="74" t="s">
        <v>54</v>
      </c>
      <c r="D1" s="74" t="s">
        <v>3</v>
      </c>
      <c r="E1" s="74" t="s">
        <v>31</v>
      </c>
      <c r="F1" s="74" t="s">
        <v>55</v>
      </c>
      <c r="G1" s="78" t="s">
        <v>32</v>
      </c>
      <c r="H1" s="79"/>
      <c r="I1" s="115"/>
    </row>
    <row r="2" spans="1:9" x14ac:dyDescent="0.3">
      <c r="A2" s="34"/>
      <c r="B2" s="34"/>
      <c r="C2" s="34"/>
      <c r="D2" s="34"/>
      <c r="E2" s="34"/>
      <c r="F2" s="34" t="str">
        <f>IF(D2="", "", IFERROR(INDEX('Tableau de bord'!C:C, MATCH(D2, 'Tableau de bord'!B:B, 0)), INDEX('Tableau de bord'!H:H, MATCH(D2, 'Tableau de bord'!G:G, 0))))</f>
        <v/>
      </c>
      <c r="G2" s="34" t="str">
        <f>IF(OR(E2="", F2=""), "", E2*F2)</f>
        <v/>
      </c>
      <c r="H2" s="79"/>
      <c r="I2" s="115"/>
    </row>
    <row r="3" spans="1:9" x14ac:dyDescent="0.3">
      <c r="A3" s="34"/>
      <c r="B3" s="34"/>
      <c r="C3" s="34"/>
      <c r="D3" s="34"/>
      <c r="E3" s="34"/>
      <c r="F3" s="34" t="str">
        <f>IF(D3="", "", IFERROR(INDEX('Tableau de bord'!C:C, MATCH(D3, 'Tableau de bord'!B:B, 0)), INDEX('Tableau de bord'!H:H, MATCH(D3, 'Tableau de bord'!G:G, 0))))</f>
        <v/>
      </c>
      <c r="G3" s="34" t="str">
        <f t="shared" ref="G3:G66" si="0">IF(OR(E3="", F3=""), "", E3*F3)</f>
        <v/>
      </c>
      <c r="H3" s="79"/>
      <c r="I3" s="115"/>
    </row>
    <row r="4" spans="1:9" x14ac:dyDescent="0.3">
      <c r="A4" s="34"/>
      <c r="B4" s="34"/>
      <c r="C4" s="34"/>
      <c r="D4" s="34"/>
      <c r="E4" s="34"/>
      <c r="F4" s="34" t="str">
        <f>IF(D4="", "", IFERROR(INDEX('Tableau de bord'!C:C, MATCH(D4, 'Tableau de bord'!B:B, 0)), INDEX('Tableau de bord'!H:H, MATCH(D4, 'Tableau de bord'!G:G, 0))))</f>
        <v/>
      </c>
      <c r="G4" s="34" t="str">
        <f t="shared" si="0"/>
        <v/>
      </c>
      <c r="H4" s="79"/>
      <c r="I4" s="115"/>
    </row>
    <row r="5" spans="1:9" x14ac:dyDescent="0.3">
      <c r="A5" s="34"/>
      <c r="B5" s="34"/>
      <c r="C5" s="34"/>
      <c r="D5" s="34"/>
      <c r="E5" s="34"/>
      <c r="F5" s="34" t="str">
        <f>IF(D5="", "", IFERROR(INDEX('Tableau de bord'!C:C, MATCH(D5, 'Tableau de bord'!B:B, 0)), INDEX('Tableau de bord'!H:H, MATCH(D5, 'Tableau de bord'!G:G, 0))))</f>
        <v/>
      </c>
      <c r="G5" s="34" t="str">
        <f t="shared" si="0"/>
        <v/>
      </c>
      <c r="H5" s="80"/>
      <c r="I5" s="115"/>
    </row>
    <row r="6" spans="1:9" x14ac:dyDescent="0.3">
      <c r="A6" s="34"/>
      <c r="B6" s="34"/>
      <c r="C6" s="34"/>
      <c r="D6" s="34"/>
      <c r="E6" s="34"/>
      <c r="F6" s="34" t="str">
        <f>IF(D6="", "", IFERROR(INDEX('Tableau de bord'!C:C, MATCH(D6, 'Tableau de bord'!B:B, 0)), INDEX('Tableau de bord'!H:H, MATCH(D6, 'Tableau de bord'!G:G, 0))))</f>
        <v/>
      </c>
      <c r="G6" s="34" t="str">
        <f t="shared" si="0"/>
        <v/>
      </c>
      <c r="H6" s="80"/>
      <c r="I6" s="115"/>
    </row>
    <row r="7" spans="1:9" x14ac:dyDescent="0.3">
      <c r="A7" s="34"/>
      <c r="B7" s="34"/>
      <c r="C7" s="34"/>
      <c r="D7" s="34"/>
      <c r="E7" s="34"/>
      <c r="F7" s="34" t="str">
        <f>IF(D7="", "", IFERROR(INDEX('Tableau de bord'!C:C, MATCH(D7, 'Tableau de bord'!B:B, 0)), INDEX('Tableau de bord'!H:H, MATCH(D7, 'Tableau de bord'!G:G, 0))))</f>
        <v/>
      </c>
      <c r="G7" s="34" t="str">
        <f t="shared" si="0"/>
        <v/>
      </c>
      <c r="H7" s="80"/>
      <c r="I7" s="115"/>
    </row>
    <row r="8" spans="1:9" x14ac:dyDescent="0.3">
      <c r="A8" s="34"/>
      <c r="B8" s="34"/>
      <c r="C8" s="34"/>
      <c r="D8" s="34"/>
      <c r="E8" s="34"/>
      <c r="F8" s="34" t="str">
        <f>IF(D8="", "", IFERROR(INDEX('Tableau de bord'!C:C, MATCH(D8, 'Tableau de bord'!B:B, 0)), INDEX('Tableau de bord'!H:H, MATCH(D8, 'Tableau de bord'!G:G, 0))))</f>
        <v/>
      </c>
      <c r="G8" s="34" t="str">
        <f t="shared" si="0"/>
        <v/>
      </c>
      <c r="H8" s="80"/>
      <c r="I8" s="115"/>
    </row>
    <row r="9" spans="1:9" x14ac:dyDescent="0.3">
      <c r="A9" s="34"/>
      <c r="B9" s="34"/>
      <c r="C9" s="34"/>
      <c r="D9" s="34"/>
      <c r="E9" s="34"/>
      <c r="F9" s="34" t="str">
        <f>IF(D9="", "", IFERROR(INDEX('Tableau de bord'!C:C, MATCH(D9, 'Tableau de bord'!B:B, 0)), INDEX('Tableau de bord'!H:H, MATCH(D9, 'Tableau de bord'!G:G, 0))))</f>
        <v/>
      </c>
      <c r="G9" s="34" t="str">
        <f t="shared" si="0"/>
        <v/>
      </c>
      <c r="H9" s="80"/>
      <c r="I9" s="115"/>
    </row>
    <row r="10" spans="1:9" x14ac:dyDescent="0.3">
      <c r="A10" s="34"/>
      <c r="B10" s="34"/>
      <c r="C10" s="34"/>
      <c r="D10" s="34"/>
      <c r="E10" s="34"/>
      <c r="F10" s="34" t="str">
        <f>IF(D10="", "", IFERROR(INDEX('Tableau de bord'!C:C, MATCH(D10, 'Tableau de bord'!B:B, 0)), INDEX('Tableau de bord'!H:H, MATCH(D10, 'Tableau de bord'!G:G, 0))))</f>
        <v/>
      </c>
      <c r="G10" s="34" t="str">
        <f t="shared" si="0"/>
        <v/>
      </c>
      <c r="H10" s="80"/>
      <c r="I10" s="115"/>
    </row>
    <row r="11" spans="1:9" x14ac:dyDescent="0.3">
      <c r="A11" s="34"/>
      <c r="B11" s="34"/>
      <c r="C11" s="34"/>
      <c r="D11" s="34"/>
      <c r="E11" s="34"/>
      <c r="F11" s="34" t="str">
        <f>IF(D11="", "", IFERROR(INDEX('Tableau de bord'!C:C, MATCH(D11, 'Tableau de bord'!B:B, 0)), INDEX('Tableau de bord'!H:H, MATCH(D11, 'Tableau de bord'!G:G, 0))))</f>
        <v/>
      </c>
      <c r="G11" s="34" t="str">
        <f t="shared" si="0"/>
        <v/>
      </c>
      <c r="H11" s="80"/>
      <c r="I11" s="115"/>
    </row>
    <row r="12" spans="1:9" x14ac:dyDescent="0.3">
      <c r="A12" s="34"/>
      <c r="B12" s="34"/>
      <c r="C12" s="34"/>
      <c r="D12" s="34"/>
      <c r="E12" s="34"/>
      <c r="F12" s="34" t="str">
        <f>IF(D12="", "", IFERROR(INDEX('Tableau de bord'!C:C, MATCH(D12, 'Tableau de bord'!B:B, 0)), INDEX('Tableau de bord'!H:H, MATCH(D12, 'Tableau de bord'!G:G, 0))))</f>
        <v/>
      </c>
      <c r="G12" s="34" t="str">
        <f t="shared" si="0"/>
        <v/>
      </c>
      <c r="H12" s="80"/>
      <c r="I12" s="115"/>
    </row>
    <row r="13" spans="1:9" x14ac:dyDescent="0.3">
      <c r="A13" s="34"/>
      <c r="B13" s="34"/>
      <c r="C13" s="34"/>
      <c r="D13" s="34"/>
      <c r="E13" s="34"/>
      <c r="F13" s="34" t="str">
        <f>IF(D13="", "", IFERROR(INDEX('Tableau de bord'!C:C, MATCH(D13, 'Tableau de bord'!B:B, 0)), INDEX('Tableau de bord'!H:H, MATCH(D13, 'Tableau de bord'!G:G, 0))))</f>
        <v/>
      </c>
      <c r="G13" s="34" t="str">
        <f t="shared" si="0"/>
        <v/>
      </c>
      <c r="H13" s="80"/>
      <c r="I13" s="115"/>
    </row>
    <row r="14" spans="1:9" x14ac:dyDescent="0.3">
      <c r="A14" s="34"/>
      <c r="B14" s="34"/>
      <c r="C14" s="34"/>
      <c r="D14" s="34"/>
      <c r="E14" s="34"/>
      <c r="F14" s="34" t="str">
        <f>IF(D14="", "", IFERROR(INDEX('Tableau de bord'!C:C, MATCH(D14, 'Tableau de bord'!B:B, 0)), INDEX('Tableau de bord'!H:H, MATCH(D14, 'Tableau de bord'!G:G, 0))))</f>
        <v/>
      </c>
      <c r="G14" s="34" t="str">
        <f t="shared" si="0"/>
        <v/>
      </c>
      <c r="H14" s="80"/>
      <c r="I14" s="115"/>
    </row>
    <row r="15" spans="1:9" x14ac:dyDescent="0.3">
      <c r="A15" s="34"/>
      <c r="B15" s="34"/>
      <c r="C15" s="34"/>
      <c r="D15" s="34"/>
      <c r="E15" s="34"/>
      <c r="F15" s="34" t="str">
        <f>IF(D15="", "", IFERROR(INDEX('Tableau de bord'!C:C, MATCH(D15, 'Tableau de bord'!B:B, 0)), INDEX('Tableau de bord'!H:H, MATCH(D15, 'Tableau de bord'!G:G, 0))))</f>
        <v/>
      </c>
      <c r="G15" s="34" t="str">
        <f t="shared" si="0"/>
        <v/>
      </c>
      <c r="H15" s="80"/>
      <c r="I15" s="115"/>
    </row>
    <row r="16" spans="1:9" x14ac:dyDescent="0.3">
      <c r="A16" s="34"/>
      <c r="B16" s="34"/>
      <c r="C16" s="34"/>
      <c r="D16" s="34"/>
      <c r="E16" s="34"/>
      <c r="F16" s="34" t="str">
        <f>IF(D16="", "", IFERROR(INDEX('Tableau de bord'!C:C, MATCH(D16, 'Tableau de bord'!B:B, 0)), INDEX('Tableau de bord'!H:H, MATCH(D16, 'Tableau de bord'!G:G, 0))))</f>
        <v/>
      </c>
      <c r="G16" s="34" t="str">
        <f t="shared" si="0"/>
        <v/>
      </c>
      <c r="H16" s="80"/>
      <c r="I16" s="115"/>
    </row>
    <row r="17" spans="1:9" x14ac:dyDescent="0.3">
      <c r="A17" s="34"/>
      <c r="B17" s="34"/>
      <c r="C17" s="34"/>
      <c r="D17" s="34"/>
      <c r="E17" s="34"/>
      <c r="F17" s="34" t="str">
        <f>IF(D17="", "", IFERROR(INDEX('Tableau de bord'!C:C, MATCH(D17, 'Tableau de bord'!B:B, 0)), INDEX('Tableau de bord'!H:H, MATCH(D17, 'Tableau de bord'!G:G, 0))))</f>
        <v/>
      </c>
      <c r="G17" s="34" t="str">
        <f t="shared" si="0"/>
        <v/>
      </c>
      <c r="H17" s="80"/>
      <c r="I17" s="115"/>
    </row>
    <row r="18" spans="1:9" x14ac:dyDescent="0.3">
      <c r="A18" s="34"/>
      <c r="B18" s="34"/>
      <c r="C18" s="34"/>
      <c r="D18" s="34"/>
      <c r="E18" s="34"/>
      <c r="F18" s="34" t="str">
        <f>IF(D18="", "", IFERROR(INDEX('Tableau de bord'!C:C, MATCH(D18, 'Tableau de bord'!B:B, 0)), INDEX('Tableau de bord'!H:H, MATCH(D18, 'Tableau de bord'!G:G, 0))))</f>
        <v/>
      </c>
      <c r="G18" s="34" t="str">
        <f t="shared" si="0"/>
        <v/>
      </c>
      <c r="H18" s="80"/>
      <c r="I18" s="115"/>
    </row>
    <row r="19" spans="1:9" x14ac:dyDescent="0.3">
      <c r="A19" s="34"/>
      <c r="B19" s="34"/>
      <c r="C19" s="34"/>
      <c r="D19" s="34"/>
      <c r="E19" s="34"/>
      <c r="F19" s="34" t="str">
        <f>IF(D19="", "", IFERROR(INDEX('Tableau de bord'!C:C, MATCH(D19, 'Tableau de bord'!B:B, 0)), INDEX('Tableau de bord'!H:H, MATCH(D19, 'Tableau de bord'!G:G, 0))))</f>
        <v/>
      </c>
      <c r="G19" s="34" t="str">
        <f t="shared" si="0"/>
        <v/>
      </c>
      <c r="H19" s="80"/>
      <c r="I19" s="115"/>
    </row>
    <row r="20" spans="1:9" x14ac:dyDescent="0.3">
      <c r="A20" s="34"/>
      <c r="B20" s="34"/>
      <c r="C20" s="34"/>
      <c r="D20" s="34"/>
      <c r="E20" s="34"/>
      <c r="F20" s="34" t="str">
        <f>IF(D20="", "", IFERROR(INDEX('Tableau de bord'!C:C, MATCH(D20, 'Tableau de bord'!B:B, 0)), INDEX('Tableau de bord'!H:H, MATCH(D20, 'Tableau de bord'!G:G, 0))))</f>
        <v/>
      </c>
      <c r="G20" s="34" t="str">
        <f t="shared" si="0"/>
        <v/>
      </c>
      <c r="H20" s="80"/>
      <c r="I20" s="115"/>
    </row>
    <row r="21" spans="1:9" x14ac:dyDescent="0.3">
      <c r="A21" s="34"/>
      <c r="B21" s="34"/>
      <c r="C21" s="34"/>
      <c r="D21" s="34"/>
      <c r="E21" s="34"/>
      <c r="F21" s="34" t="str">
        <f>IF(D21="", "", IFERROR(INDEX('Tableau de bord'!C:C, MATCH(D21, 'Tableau de bord'!B:B, 0)), INDEX('Tableau de bord'!H:H, MATCH(D21, 'Tableau de bord'!G:G, 0))))</f>
        <v/>
      </c>
      <c r="G21" s="34" t="str">
        <f t="shared" si="0"/>
        <v/>
      </c>
      <c r="H21" s="80"/>
      <c r="I21" s="115"/>
    </row>
    <row r="22" spans="1:9" x14ac:dyDescent="0.3">
      <c r="A22" s="34"/>
      <c r="B22" s="34"/>
      <c r="C22" s="34"/>
      <c r="D22" s="34"/>
      <c r="E22" s="34"/>
      <c r="F22" s="34" t="str">
        <f>IF(D22="", "", IFERROR(INDEX('Tableau de bord'!C:C, MATCH(D22, 'Tableau de bord'!B:B, 0)), INDEX('Tableau de bord'!H:H, MATCH(D22, 'Tableau de bord'!G:G, 0))))</f>
        <v/>
      </c>
      <c r="G22" s="34" t="str">
        <f t="shared" si="0"/>
        <v/>
      </c>
      <c r="H22" s="80"/>
      <c r="I22" s="115"/>
    </row>
    <row r="23" spans="1:9" x14ac:dyDescent="0.3">
      <c r="A23" s="34"/>
      <c r="B23" s="34"/>
      <c r="C23" s="34"/>
      <c r="D23" s="34"/>
      <c r="E23" s="34"/>
      <c r="F23" s="34" t="str">
        <f>IF(D23="", "", IFERROR(INDEX('Tableau de bord'!C:C, MATCH(D23, 'Tableau de bord'!B:B, 0)), INDEX('Tableau de bord'!H:H, MATCH(D23, 'Tableau de bord'!G:G, 0))))</f>
        <v/>
      </c>
      <c r="G23" s="34" t="str">
        <f t="shared" si="0"/>
        <v/>
      </c>
      <c r="H23" s="80"/>
      <c r="I23" s="115"/>
    </row>
    <row r="24" spans="1:9" x14ac:dyDescent="0.3">
      <c r="A24" s="34"/>
      <c r="B24" s="34"/>
      <c r="C24" s="34"/>
      <c r="D24" s="34"/>
      <c r="E24" s="34"/>
      <c r="F24" s="34" t="str">
        <f>IF(D24="", "", IFERROR(INDEX('Tableau de bord'!C:C, MATCH(D24, 'Tableau de bord'!B:B, 0)), INDEX('Tableau de bord'!H:H, MATCH(D24, 'Tableau de bord'!G:G, 0))))</f>
        <v/>
      </c>
      <c r="G24" s="34" t="str">
        <f t="shared" si="0"/>
        <v/>
      </c>
      <c r="H24" s="80"/>
      <c r="I24" s="115"/>
    </row>
    <row r="25" spans="1:9" x14ac:dyDescent="0.3">
      <c r="A25" s="34"/>
      <c r="B25" s="34"/>
      <c r="C25" s="34"/>
      <c r="D25" s="34"/>
      <c r="E25" s="34"/>
      <c r="F25" s="34" t="str">
        <f>IF(D25="", "", IFERROR(INDEX('Tableau de bord'!C:C, MATCH(D25, 'Tableau de bord'!B:B, 0)), INDEX('Tableau de bord'!H:H, MATCH(D25, 'Tableau de bord'!G:G, 0))))</f>
        <v/>
      </c>
      <c r="G25" s="34" t="str">
        <f t="shared" si="0"/>
        <v/>
      </c>
      <c r="H25" s="80"/>
      <c r="I25" s="115"/>
    </row>
    <row r="26" spans="1:9" x14ac:dyDescent="0.3">
      <c r="A26" s="34"/>
      <c r="B26" s="34"/>
      <c r="C26" s="34"/>
      <c r="D26" s="34"/>
      <c r="E26" s="34"/>
      <c r="F26" s="34" t="str">
        <f>IF(D26="", "", IFERROR(INDEX('Tableau de bord'!C:C, MATCH(D26, 'Tableau de bord'!B:B, 0)), INDEX('Tableau de bord'!H:H, MATCH(D26, 'Tableau de bord'!G:G, 0))))</f>
        <v/>
      </c>
      <c r="G26" s="34" t="str">
        <f t="shared" si="0"/>
        <v/>
      </c>
      <c r="H26" s="80"/>
      <c r="I26" s="115"/>
    </row>
    <row r="27" spans="1:9" x14ac:dyDescent="0.3">
      <c r="A27" s="34"/>
      <c r="B27" s="34"/>
      <c r="C27" s="34"/>
      <c r="D27" s="34"/>
      <c r="E27" s="34"/>
      <c r="F27" s="34" t="str">
        <f>IF(D27="", "", IFERROR(INDEX('Tableau de bord'!C:C, MATCH(D27, 'Tableau de bord'!B:B, 0)), INDEX('Tableau de bord'!H:H, MATCH(D27, 'Tableau de bord'!G:G, 0))))</f>
        <v/>
      </c>
      <c r="G27" s="34" t="str">
        <f t="shared" si="0"/>
        <v/>
      </c>
      <c r="H27" s="80"/>
      <c r="I27" s="115"/>
    </row>
    <row r="28" spans="1:9" x14ac:dyDescent="0.3">
      <c r="A28" s="34"/>
      <c r="B28" s="34"/>
      <c r="C28" s="34"/>
      <c r="D28" s="34"/>
      <c r="E28" s="34"/>
      <c r="F28" s="34" t="str">
        <f>IF(D28="", "", IFERROR(INDEX('Tableau de bord'!C:C, MATCH(D28, 'Tableau de bord'!B:B, 0)), INDEX('Tableau de bord'!H:H, MATCH(D28, 'Tableau de bord'!G:G, 0))))</f>
        <v/>
      </c>
      <c r="G28" s="34" t="str">
        <f t="shared" si="0"/>
        <v/>
      </c>
      <c r="H28" s="80"/>
      <c r="I28" s="115"/>
    </row>
    <row r="29" spans="1:9" x14ac:dyDescent="0.3">
      <c r="A29" s="34"/>
      <c r="B29" s="34"/>
      <c r="C29" s="34"/>
      <c r="D29" s="34"/>
      <c r="E29" s="34"/>
      <c r="F29" s="34" t="str">
        <f>IF(D29="", "", IFERROR(INDEX('Tableau de bord'!C:C, MATCH(D29, 'Tableau de bord'!B:B, 0)), INDEX('Tableau de bord'!H:H, MATCH(D29, 'Tableau de bord'!G:G, 0))))</f>
        <v/>
      </c>
      <c r="G29" s="34" t="str">
        <f t="shared" si="0"/>
        <v/>
      </c>
      <c r="H29" s="80"/>
      <c r="I29" s="115"/>
    </row>
    <row r="30" spans="1:9" x14ac:dyDescent="0.3">
      <c r="A30" s="34"/>
      <c r="B30" s="34"/>
      <c r="C30" s="34"/>
      <c r="D30" s="34"/>
      <c r="E30" s="34"/>
      <c r="F30" s="34" t="str">
        <f>IF(D30="", "", IFERROR(INDEX('Tableau de bord'!C:C, MATCH(D30, 'Tableau de bord'!B:B, 0)), INDEX('Tableau de bord'!H:H, MATCH(D30, 'Tableau de bord'!G:G, 0))))</f>
        <v/>
      </c>
      <c r="G30" s="34" t="str">
        <f t="shared" si="0"/>
        <v/>
      </c>
      <c r="H30" s="80"/>
      <c r="I30" s="115"/>
    </row>
    <row r="31" spans="1:9" x14ac:dyDescent="0.3">
      <c r="A31" s="34"/>
      <c r="B31" s="34"/>
      <c r="C31" s="34"/>
      <c r="D31" s="34"/>
      <c r="E31" s="34"/>
      <c r="F31" s="34" t="str">
        <f>IF(D31="", "", IFERROR(INDEX('Tableau de bord'!C:C, MATCH(D31, 'Tableau de bord'!B:B, 0)), INDEX('Tableau de bord'!H:H, MATCH(D31, 'Tableau de bord'!G:G, 0))))</f>
        <v/>
      </c>
      <c r="G31" s="34" t="str">
        <f t="shared" si="0"/>
        <v/>
      </c>
      <c r="H31" s="80"/>
      <c r="I31" s="115"/>
    </row>
    <row r="32" spans="1:9" x14ac:dyDescent="0.3">
      <c r="A32" s="34"/>
      <c r="B32" s="34"/>
      <c r="C32" s="34"/>
      <c r="D32" s="34"/>
      <c r="E32" s="34"/>
      <c r="F32" s="34" t="str">
        <f>IF(D32="", "", IFERROR(INDEX('Tableau de bord'!C:C, MATCH(D32, 'Tableau de bord'!B:B, 0)), INDEX('Tableau de bord'!H:H, MATCH(D32, 'Tableau de bord'!G:G, 0))))</f>
        <v/>
      </c>
      <c r="G32" s="34" t="str">
        <f t="shared" si="0"/>
        <v/>
      </c>
      <c r="H32" s="80"/>
      <c r="I32" s="115"/>
    </row>
    <row r="33" spans="1:9" x14ac:dyDescent="0.3">
      <c r="A33" s="34"/>
      <c r="B33" s="34"/>
      <c r="C33" s="34"/>
      <c r="D33" s="34"/>
      <c r="E33" s="34"/>
      <c r="F33" s="34" t="str">
        <f>IF(D33="", "", IFERROR(INDEX('Tableau de bord'!C:C, MATCH(D33, 'Tableau de bord'!B:B, 0)), INDEX('Tableau de bord'!H:H, MATCH(D33, 'Tableau de bord'!G:G, 0))))</f>
        <v/>
      </c>
      <c r="G33" s="34" t="str">
        <f t="shared" si="0"/>
        <v/>
      </c>
      <c r="H33" s="80"/>
      <c r="I33" s="115"/>
    </row>
    <row r="34" spans="1:9" x14ac:dyDescent="0.3">
      <c r="A34" s="34"/>
      <c r="B34" s="34"/>
      <c r="C34" s="34"/>
      <c r="D34" s="34"/>
      <c r="E34" s="34"/>
      <c r="F34" s="34" t="str">
        <f>IF(D34="", "", IFERROR(INDEX('Tableau de bord'!C:C, MATCH(D34, 'Tableau de bord'!B:B, 0)), INDEX('Tableau de bord'!H:H, MATCH(D34, 'Tableau de bord'!G:G, 0))))</f>
        <v/>
      </c>
      <c r="G34" s="34" t="str">
        <f t="shared" si="0"/>
        <v/>
      </c>
      <c r="H34" s="80"/>
      <c r="I34" s="115"/>
    </row>
    <row r="35" spans="1:9" x14ac:dyDescent="0.3">
      <c r="A35" s="34"/>
      <c r="B35" s="34"/>
      <c r="C35" s="34"/>
      <c r="D35" s="34"/>
      <c r="E35" s="34"/>
      <c r="F35" s="34" t="str">
        <f>IF(D35="", "", IFERROR(INDEX('Tableau de bord'!C:C, MATCH(D35, 'Tableau de bord'!B:B, 0)), INDEX('Tableau de bord'!H:H, MATCH(D35, 'Tableau de bord'!G:G, 0))))</f>
        <v/>
      </c>
      <c r="G35" s="34" t="str">
        <f t="shared" si="0"/>
        <v/>
      </c>
      <c r="H35" s="80"/>
      <c r="I35" s="115"/>
    </row>
    <row r="36" spans="1:9" x14ac:dyDescent="0.3">
      <c r="A36" s="34"/>
      <c r="B36" s="34"/>
      <c r="C36" s="34"/>
      <c r="D36" s="34"/>
      <c r="E36" s="34"/>
      <c r="F36" s="34" t="str">
        <f>IF(D36="", "", IFERROR(INDEX('Tableau de bord'!C:C, MATCH(D36, 'Tableau de bord'!B:B, 0)), INDEX('Tableau de bord'!H:H, MATCH(D36, 'Tableau de bord'!G:G, 0))))</f>
        <v/>
      </c>
      <c r="G36" s="34" t="str">
        <f t="shared" si="0"/>
        <v/>
      </c>
      <c r="H36" s="80"/>
      <c r="I36" s="115"/>
    </row>
    <row r="37" spans="1:9" x14ac:dyDescent="0.3">
      <c r="A37" s="34"/>
      <c r="B37" s="34"/>
      <c r="C37" s="34"/>
      <c r="D37" s="34"/>
      <c r="E37" s="34"/>
      <c r="F37" s="34" t="str">
        <f>IF(D37="", "", IFERROR(INDEX('Tableau de bord'!C:C, MATCH(D37, 'Tableau de bord'!B:B, 0)), INDEX('Tableau de bord'!H:H, MATCH(D37, 'Tableau de bord'!G:G, 0))))</f>
        <v/>
      </c>
      <c r="G37" s="34" t="str">
        <f t="shared" si="0"/>
        <v/>
      </c>
      <c r="H37" s="80"/>
      <c r="I37" s="115"/>
    </row>
    <row r="38" spans="1:9" x14ac:dyDescent="0.3">
      <c r="A38" s="34"/>
      <c r="B38" s="34"/>
      <c r="C38" s="34"/>
      <c r="D38" s="34"/>
      <c r="E38" s="34"/>
      <c r="F38" s="34" t="str">
        <f>IF(D38="", "", IFERROR(INDEX('Tableau de bord'!C:C, MATCH(D38, 'Tableau de bord'!B:B, 0)), INDEX('Tableau de bord'!H:H, MATCH(D38, 'Tableau de bord'!G:G, 0))))</f>
        <v/>
      </c>
      <c r="G38" s="34" t="str">
        <f t="shared" si="0"/>
        <v/>
      </c>
      <c r="H38" s="80"/>
      <c r="I38" s="115"/>
    </row>
    <row r="39" spans="1:9" x14ac:dyDescent="0.3">
      <c r="A39" s="34"/>
      <c r="B39" s="34"/>
      <c r="C39" s="34"/>
      <c r="D39" s="34"/>
      <c r="E39" s="34"/>
      <c r="F39" s="34" t="str">
        <f>IF(D39="", "", IFERROR(INDEX('Tableau de bord'!C:C, MATCH(D39, 'Tableau de bord'!B:B, 0)), INDEX('Tableau de bord'!H:H, MATCH(D39, 'Tableau de bord'!G:G, 0))))</f>
        <v/>
      </c>
      <c r="G39" s="34" t="str">
        <f t="shared" si="0"/>
        <v/>
      </c>
      <c r="H39" s="80"/>
      <c r="I39" s="115"/>
    </row>
    <row r="40" spans="1:9" x14ac:dyDescent="0.3">
      <c r="A40" s="34"/>
      <c r="B40" s="34"/>
      <c r="C40" s="34"/>
      <c r="D40" s="34"/>
      <c r="E40" s="34"/>
      <c r="F40" s="34" t="str">
        <f>IF(D40="", "", IFERROR(INDEX('Tableau de bord'!C:C, MATCH(D40, 'Tableau de bord'!B:B, 0)), INDEX('Tableau de bord'!H:H, MATCH(D40, 'Tableau de bord'!G:G, 0))))</f>
        <v/>
      </c>
      <c r="G40" s="34" t="str">
        <f t="shared" si="0"/>
        <v/>
      </c>
      <c r="H40" s="80"/>
      <c r="I40" s="115"/>
    </row>
    <row r="41" spans="1:9" x14ac:dyDescent="0.3">
      <c r="A41" s="34"/>
      <c r="B41" s="34"/>
      <c r="C41" s="34"/>
      <c r="D41" s="34"/>
      <c r="E41" s="34"/>
      <c r="F41" s="34" t="str">
        <f>IF(D41="", "", IFERROR(INDEX('Tableau de bord'!C:C, MATCH(D41, 'Tableau de bord'!B:B, 0)), INDEX('Tableau de bord'!H:H, MATCH(D41, 'Tableau de bord'!G:G, 0))))</f>
        <v/>
      </c>
      <c r="G41" s="34" t="str">
        <f t="shared" si="0"/>
        <v/>
      </c>
      <c r="H41" s="80"/>
      <c r="I41" s="115"/>
    </row>
    <row r="42" spans="1:9" x14ac:dyDescent="0.3">
      <c r="A42" s="34"/>
      <c r="B42" s="34"/>
      <c r="C42" s="34"/>
      <c r="D42" s="34"/>
      <c r="E42" s="34"/>
      <c r="F42" s="34" t="str">
        <f>IF(D42="", "", IFERROR(INDEX('Tableau de bord'!C:C, MATCH(D42, 'Tableau de bord'!B:B, 0)), INDEX('Tableau de bord'!H:H, MATCH(D42, 'Tableau de bord'!G:G, 0))))</f>
        <v/>
      </c>
      <c r="G42" s="34" t="str">
        <f t="shared" si="0"/>
        <v/>
      </c>
      <c r="H42" s="80"/>
      <c r="I42" s="115"/>
    </row>
    <row r="43" spans="1:9" x14ac:dyDescent="0.3">
      <c r="A43" s="34"/>
      <c r="B43" s="34"/>
      <c r="C43" s="34"/>
      <c r="D43" s="34"/>
      <c r="E43" s="34"/>
      <c r="F43" s="34" t="str">
        <f>IF(D43="", "", IFERROR(INDEX('Tableau de bord'!C:C, MATCH(D43, 'Tableau de bord'!B:B, 0)), INDEX('Tableau de bord'!H:H, MATCH(D43, 'Tableau de bord'!G:G, 0))))</f>
        <v/>
      </c>
      <c r="G43" s="34" t="str">
        <f t="shared" si="0"/>
        <v/>
      </c>
      <c r="H43" s="80"/>
      <c r="I43" s="115"/>
    </row>
    <row r="44" spans="1:9" x14ac:dyDescent="0.3">
      <c r="A44" s="34"/>
      <c r="B44" s="34"/>
      <c r="C44" s="34"/>
      <c r="D44" s="34"/>
      <c r="E44" s="34"/>
      <c r="F44" s="34" t="str">
        <f>IF(D44="", "", IFERROR(INDEX('Tableau de bord'!C:C, MATCH(D44, 'Tableau de bord'!B:B, 0)), INDEX('Tableau de bord'!H:H, MATCH(D44, 'Tableau de bord'!G:G, 0))))</f>
        <v/>
      </c>
      <c r="G44" s="34" t="str">
        <f t="shared" si="0"/>
        <v/>
      </c>
      <c r="H44" s="80"/>
      <c r="I44" s="115"/>
    </row>
    <row r="45" spans="1:9" x14ac:dyDescent="0.3">
      <c r="A45" s="34"/>
      <c r="B45" s="34"/>
      <c r="C45" s="34"/>
      <c r="D45" s="34"/>
      <c r="E45" s="34"/>
      <c r="F45" s="34" t="str">
        <f>IF(D45="", "", IFERROR(INDEX('Tableau de bord'!C:C, MATCH(D45, 'Tableau de bord'!B:B, 0)), INDEX('Tableau de bord'!H:H, MATCH(D45, 'Tableau de bord'!G:G, 0))))</f>
        <v/>
      </c>
      <c r="G45" s="34" t="str">
        <f t="shared" si="0"/>
        <v/>
      </c>
      <c r="H45" s="80"/>
      <c r="I45" s="115"/>
    </row>
    <row r="46" spans="1:9" x14ac:dyDescent="0.3">
      <c r="A46" s="34"/>
      <c r="B46" s="34"/>
      <c r="C46" s="34"/>
      <c r="D46" s="34"/>
      <c r="E46" s="34"/>
      <c r="F46" s="34" t="str">
        <f>IF(D46="", "", IFERROR(INDEX('Tableau de bord'!C:C, MATCH(D46, 'Tableau de bord'!B:B, 0)), INDEX('Tableau de bord'!H:H, MATCH(D46, 'Tableau de bord'!G:G, 0))))</f>
        <v/>
      </c>
      <c r="G46" s="34" t="str">
        <f t="shared" si="0"/>
        <v/>
      </c>
      <c r="H46" s="80"/>
      <c r="I46" s="115"/>
    </row>
    <row r="47" spans="1:9" x14ac:dyDescent="0.3">
      <c r="A47" s="34"/>
      <c r="B47" s="34"/>
      <c r="C47" s="34"/>
      <c r="D47" s="34"/>
      <c r="E47" s="34"/>
      <c r="F47" s="34" t="str">
        <f>IF(D47="", "", IFERROR(INDEX('Tableau de bord'!C:C, MATCH(D47, 'Tableau de bord'!B:B, 0)), INDEX('Tableau de bord'!H:H, MATCH(D47, 'Tableau de bord'!G:G, 0))))</f>
        <v/>
      </c>
      <c r="G47" s="34" t="str">
        <f t="shared" si="0"/>
        <v/>
      </c>
      <c r="H47" s="80"/>
      <c r="I47" s="115"/>
    </row>
    <row r="48" spans="1:9" x14ac:dyDescent="0.3">
      <c r="A48" s="34"/>
      <c r="B48" s="34"/>
      <c r="C48" s="34"/>
      <c r="D48" s="34"/>
      <c r="E48" s="34"/>
      <c r="F48" s="34" t="str">
        <f>IF(D48="", "", IFERROR(INDEX('Tableau de bord'!C:C, MATCH(D48, 'Tableau de bord'!B:B, 0)), INDEX('Tableau de bord'!H:H, MATCH(D48, 'Tableau de bord'!G:G, 0))))</f>
        <v/>
      </c>
      <c r="G48" s="34" t="str">
        <f t="shared" si="0"/>
        <v/>
      </c>
      <c r="H48" s="80"/>
      <c r="I48" s="115"/>
    </row>
    <row r="49" spans="1:9" x14ac:dyDescent="0.3">
      <c r="A49" s="34"/>
      <c r="B49" s="34"/>
      <c r="C49" s="34"/>
      <c r="D49" s="34"/>
      <c r="E49" s="34"/>
      <c r="F49" s="34" t="str">
        <f>IF(D49="", "", IFERROR(INDEX('Tableau de bord'!C:C, MATCH(D49, 'Tableau de bord'!B:B, 0)), INDEX('Tableau de bord'!H:H, MATCH(D49, 'Tableau de bord'!G:G, 0))))</f>
        <v/>
      </c>
      <c r="G49" s="34" t="str">
        <f t="shared" si="0"/>
        <v/>
      </c>
      <c r="H49" s="80"/>
      <c r="I49" s="115"/>
    </row>
    <row r="50" spans="1:9" x14ac:dyDescent="0.3">
      <c r="A50" s="34"/>
      <c r="B50" s="34"/>
      <c r="C50" s="34"/>
      <c r="D50" s="34"/>
      <c r="E50" s="34"/>
      <c r="F50" s="34" t="str">
        <f>IF(D50="", "", IFERROR(INDEX('Tableau de bord'!C:C, MATCH(D50, 'Tableau de bord'!B:B, 0)), INDEX('Tableau de bord'!H:H, MATCH(D50, 'Tableau de bord'!G:G, 0))))</f>
        <v/>
      </c>
      <c r="G50" s="34" t="str">
        <f t="shared" si="0"/>
        <v/>
      </c>
      <c r="H50" s="80"/>
      <c r="I50" s="115"/>
    </row>
    <row r="51" spans="1:9" x14ac:dyDescent="0.3">
      <c r="A51" s="34"/>
      <c r="B51" s="34"/>
      <c r="C51" s="34"/>
      <c r="D51" s="34"/>
      <c r="E51" s="34"/>
      <c r="F51" s="34" t="str">
        <f>IF(D51="", "", IFERROR(INDEX('Tableau de bord'!C:C, MATCH(D51, 'Tableau de bord'!B:B, 0)), INDEX('Tableau de bord'!H:H, MATCH(D51, 'Tableau de bord'!G:G, 0))))</f>
        <v/>
      </c>
      <c r="G51" s="34" t="str">
        <f t="shared" si="0"/>
        <v/>
      </c>
      <c r="H51" s="80"/>
      <c r="I51" s="115"/>
    </row>
    <row r="52" spans="1:9" x14ac:dyDescent="0.3">
      <c r="A52" s="34"/>
      <c r="B52" s="34"/>
      <c r="C52" s="34"/>
      <c r="D52" s="34"/>
      <c r="E52" s="34"/>
      <c r="F52" s="34" t="str">
        <f>IF(D52="", "", IFERROR(INDEX('Tableau de bord'!C:C, MATCH(D52, 'Tableau de bord'!B:B, 0)), INDEX('Tableau de bord'!H:H, MATCH(D52, 'Tableau de bord'!G:G, 0))))</f>
        <v/>
      </c>
      <c r="G52" s="34" t="str">
        <f t="shared" si="0"/>
        <v/>
      </c>
      <c r="H52" s="80"/>
      <c r="I52" s="115"/>
    </row>
    <row r="53" spans="1:9" x14ac:dyDescent="0.3">
      <c r="A53" s="34"/>
      <c r="B53" s="34"/>
      <c r="C53" s="34"/>
      <c r="D53" s="34"/>
      <c r="E53" s="34"/>
      <c r="F53" s="34" t="str">
        <f>IF(D53="", "", IFERROR(INDEX('Tableau de bord'!C:C, MATCH(D53, 'Tableau de bord'!B:B, 0)), INDEX('Tableau de bord'!H:H, MATCH(D53, 'Tableau de bord'!G:G, 0))))</f>
        <v/>
      </c>
      <c r="G53" s="34" t="str">
        <f t="shared" si="0"/>
        <v/>
      </c>
      <c r="H53" s="80"/>
      <c r="I53" s="115"/>
    </row>
    <row r="54" spans="1:9" x14ac:dyDescent="0.3">
      <c r="A54" s="34"/>
      <c r="B54" s="34"/>
      <c r="C54" s="34"/>
      <c r="D54" s="34"/>
      <c r="E54" s="34"/>
      <c r="F54" s="34" t="str">
        <f>IF(D54="", "", IFERROR(INDEX('Tableau de bord'!C:C, MATCH(D54, 'Tableau de bord'!B:B, 0)), INDEX('Tableau de bord'!H:H, MATCH(D54, 'Tableau de bord'!G:G, 0))))</f>
        <v/>
      </c>
      <c r="G54" s="34" t="str">
        <f t="shared" si="0"/>
        <v/>
      </c>
      <c r="H54" s="80"/>
      <c r="I54" s="115"/>
    </row>
    <row r="55" spans="1:9" x14ac:dyDescent="0.3">
      <c r="A55" s="34"/>
      <c r="B55" s="34"/>
      <c r="C55" s="34"/>
      <c r="D55" s="34"/>
      <c r="E55" s="34"/>
      <c r="F55" s="34" t="str">
        <f>IF(D55="", "", IFERROR(INDEX('Tableau de bord'!C:C, MATCH(D55, 'Tableau de bord'!B:B, 0)), INDEX('Tableau de bord'!H:H, MATCH(D55, 'Tableau de bord'!G:G, 0))))</f>
        <v/>
      </c>
      <c r="G55" s="34" t="str">
        <f t="shared" si="0"/>
        <v/>
      </c>
      <c r="H55" s="80"/>
      <c r="I55" s="115"/>
    </row>
    <row r="56" spans="1:9" x14ac:dyDescent="0.3">
      <c r="A56" s="34"/>
      <c r="B56" s="34"/>
      <c r="C56" s="34"/>
      <c r="D56" s="34"/>
      <c r="E56" s="34"/>
      <c r="F56" s="34" t="str">
        <f>IF(D56="", "", IFERROR(INDEX('Tableau de bord'!C:C, MATCH(D56, 'Tableau de bord'!B:B, 0)), INDEX('Tableau de bord'!H:H, MATCH(D56, 'Tableau de bord'!G:G, 0))))</f>
        <v/>
      </c>
      <c r="G56" s="34" t="str">
        <f t="shared" si="0"/>
        <v/>
      </c>
      <c r="H56" s="80"/>
      <c r="I56" s="115"/>
    </row>
    <row r="57" spans="1:9" x14ac:dyDescent="0.3">
      <c r="A57" s="34"/>
      <c r="B57" s="34"/>
      <c r="C57" s="34"/>
      <c r="D57" s="34"/>
      <c r="E57" s="34"/>
      <c r="F57" s="34" t="str">
        <f>IF(D57="", "", IFERROR(INDEX('Tableau de bord'!C:C, MATCH(D57, 'Tableau de bord'!B:B, 0)), INDEX('Tableau de bord'!H:H, MATCH(D57, 'Tableau de bord'!G:G, 0))))</f>
        <v/>
      </c>
      <c r="G57" s="34" t="str">
        <f t="shared" si="0"/>
        <v/>
      </c>
      <c r="H57" s="80"/>
      <c r="I57" s="115"/>
    </row>
    <row r="58" spans="1:9" x14ac:dyDescent="0.3">
      <c r="A58" s="34"/>
      <c r="B58" s="34"/>
      <c r="C58" s="34"/>
      <c r="D58" s="34"/>
      <c r="E58" s="34"/>
      <c r="F58" s="34" t="str">
        <f>IF(D58="", "", IFERROR(INDEX('Tableau de bord'!C:C, MATCH(D58, 'Tableau de bord'!B:B, 0)), INDEX('Tableau de bord'!H:H, MATCH(D58, 'Tableau de bord'!G:G, 0))))</f>
        <v/>
      </c>
      <c r="G58" s="34" t="str">
        <f t="shared" si="0"/>
        <v/>
      </c>
      <c r="H58" s="80"/>
      <c r="I58" s="115"/>
    </row>
    <row r="59" spans="1:9" x14ac:dyDescent="0.3">
      <c r="A59" s="34"/>
      <c r="B59" s="34"/>
      <c r="C59" s="34"/>
      <c r="D59" s="34"/>
      <c r="E59" s="34"/>
      <c r="F59" s="34" t="str">
        <f>IF(D59="", "", IFERROR(INDEX('Tableau de bord'!C:C, MATCH(D59, 'Tableau de bord'!B:B, 0)), INDEX('Tableau de bord'!H:H, MATCH(D59, 'Tableau de bord'!G:G, 0))))</f>
        <v/>
      </c>
      <c r="G59" s="34" t="str">
        <f t="shared" si="0"/>
        <v/>
      </c>
      <c r="H59" s="80"/>
      <c r="I59" s="115"/>
    </row>
    <row r="60" spans="1:9" x14ac:dyDescent="0.3">
      <c r="A60" s="34"/>
      <c r="B60" s="34"/>
      <c r="C60" s="34"/>
      <c r="D60" s="34"/>
      <c r="E60" s="34"/>
      <c r="F60" s="34" t="str">
        <f>IF(D60="", "", IFERROR(INDEX('Tableau de bord'!C:C, MATCH(D60, 'Tableau de bord'!B:B, 0)), INDEX('Tableau de bord'!H:H, MATCH(D60, 'Tableau de bord'!G:G, 0))))</f>
        <v/>
      </c>
      <c r="G60" s="34" t="str">
        <f t="shared" si="0"/>
        <v/>
      </c>
      <c r="H60" s="80"/>
      <c r="I60" s="115"/>
    </row>
    <row r="61" spans="1:9" x14ac:dyDescent="0.3">
      <c r="A61" s="34"/>
      <c r="B61" s="34"/>
      <c r="C61" s="34"/>
      <c r="D61" s="34"/>
      <c r="E61" s="34"/>
      <c r="F61" s="34" t="str">
        <f>IF(D61="", "", IFERROR(INDEX('Tableau de bord'!C:C, MATCH(D61, 'Tableau de bord'!B:B, 0)), INDEX('Tableau de bord'!H:H, MATCH(D61, 'Tableau de bord'!G:G, 0))))</f>
        <v/>
      </c>
      <c r="G61" s="34" t="str">
        <f t="shared" si="0"/>
        <v/>
      </c>
      <c r="H61" s="80"/>
      <c r="I61" s="115"/>
    </row>
    <row r="62" spans="1:9" x14ac:dyDescent="0.3">
      <c r="A62" s="34"/>
      <c r="B62" s="34"/>
      <c r="C62" s="34"/>
      <c r="D62" s="34"/>
      <c r="E62" s="34"/>
      <c r="F62" s="34" t="str">
        <f>IF(D62="", "", IFERROR(INDEX('Tableau de bord'!C:C, MATCH(D62, 'Tableau de bord'!B:B, 0)), INDEX('Tableau de bord'!H:H, MATCH(D62, 'Tableau de bord'!G:G, 0))))</f>
        <v/>
      </c>
      <c r="G62" s="34" t="str">
        <f t="shared" si="0"/>
        <v/>
      </c>
      <c r="H62" s="80"/>
      <c r="I62" s="115"/>
    </row>
    <row r="63" spans="1:9" x14ac:dyDescent="0.3">
      <c r="A63" s="34"/>
      <c r="B63" s="34"/>
      <c r="C63" s="34"/>
      <c r="D63" s="34"/>
      <c r="E63" s="34"/>
      <c r="F63" s="34" t="str">
        <f>IF(D63="", "", IFERROR(INDEX('Tableau de bord'!C:C, MATCH(D63, 'Tableau de bord'!B:B, 0)), INDEX('Tableau de bord'!H:H, MATCH(D63, 'Tableau de bord'!G:G, 0))))</f>
        <v/>
      </c>
      <c r="G63" s="34" t="str">
        <f t="shared" si="0"/>
        <v/>
      </c>
      <c r="H63" s="80"/>
      <c r="I63" s="115"/>
    </row>
    <row r="64" spans="1:9" x14ac:dyDescent="0.3">
      <c r="A64" s="34"/>
      <c r="B64" s="34"/>
      <c r="C64" s="34"/>
      <c r="D64" s="34"/>
      <c r="E64" s="34"/>
      <c r="F64" s="34" t="str">
        <f>IF(D64="", "", IFERROR(INDEX('Tableau de bord'!C:C, MATCH(D64, 'Tableau de bord'!B:B, 0)), INDEX('Tableau de bord'!H:H, MATCH(D64, 'Tableau de bord'!G:G, 0))))</f>
        <v/>
      </c>
      <c r="G64" s="34" t="str">
        <f t="shared" si="0"/>
        <v/>
      </c>
      <c r="H64" s="80"/>
      <c r="I64" s="115"/>
    </row>
    <row r="65" spans="1:9" x14ac:dyDescent="0.3">
      <c r="A65" s="34"/>
      <c r="B65" s="34"/>
      <c r="C65" s="34"/>
      <c r="D65" s="34"/>
      <c r="E65" s="34"/>
      <c r="F65" s="34" t="str">
        <f>IF(D65="", "", IFERROR(INDEX('Tableau de bord'!C:C, MATCH(D65, 'Tableau de bord'!B:B, 0)), INDEX('Tableau de bord'!H:H, MATCH(D65, 'Tableau de bord'!G:G, 0))))</f>
        <v/>
      </c>
      <c r="G65" s="34" t="str">
        <f t="shared" si="0"/>
        <v/>
      </c>
      <c r="H65" s="80"/>
      <c r="I65" s="115"/>
    </row>
    <row r="66" spans="1:9" x14ac:dyDescent="0.3">
      <c r="A66" s="34"/>
      <c r="B66" s="34"/>
      <c r="C66" s="34"/>
      <c r="D66" s="34"/>
      <c r="E66" s="34"/>
      <c r="F66" s="34" t="str">
        <f>IF(D66="", "", IFERROR(INDEX('Tableau de bord'!C:C, MATCH(D66, 'Tableau de bord'!B:B, 0)), INDEX('Tableau de bord'!H:H, MATCH(D66, 'Tableau de bord'!G:G, 0))))</f>
        <v/>
      </c>
      <c r="G66" s="34" t="str">
        <f t="shared" si="0"/>
        <v/>
      </c>
      <c r="H66" s="80"/>
      <c r="I66" s="115"/>
    </row>
    <row r="67" spans="1:9" x14ac:dyDescent="0.3">
      <c r="A67" s="34"/>
      <c r="B67" s="34"/>
      <c r="C67" s="34"/>
      <c r="D67" s="34"/>
      <c r="E67" s="34"/>
      <c r="F67" s="34" t="str">
        <f>IF(D67="", "", IFERROR(INDEX('Tableau de bord'!C:C, MATCH(D67, 'Tableau de bord'!B:B, 0)), INDEX('Tableau de bord'!H:H, MATCH(D67, 'Tableau de bord'!G:G, 0))))</f>
        <v/>
      </c>
      <c r="G67" s="34" t="str">
        <f t="shared" ref="G67:G130" si="1">IF(OR(E67="", F67=""), "", E67*F67)</f>
        <v/>
      </c>
      <c r="H67" s="80"/>
      <c r="I67" s="115"/>
    </row>
    <row r="68" spans="1:9" x14ac:dyDescent="0.3">
      <c r="A68" s="34"/>
      <c r="B68" s="34"/>
      <c r="C68" s="34"/>
      <c r="D68" s="34"/>
      <c r="E68" s="34"/>
      <c r="F68" s="34" t="str">
        <f>IF(D68="", "", IFERROR(INDEX('Tableau de bord'!C:C, MATCH(D68, 'Tableau de bord'!B:B, 0)), INDEX('Tableau de bord'!H:H, MATCH(D68, 'Tableau de bord'!G:G, 0))))</f>
        <v/>
      </c>
      <c r="G68" s="34" t="str">
        <f t="shared" si="1"/>
        <v/>
      </c>
      <c r="H68" s="80"/>
      <c r="I68" s="115"/>
    </row>
    <row r="69" spans="1:9" x14ac:dyDescent="0.3">
      <c r="A69" s="34"/>
      <c r="B69" s="34"/>
      <c r="C69" s="34"/>
      <c r="D69" s="34"/>
      <c r="E69" s="34"/>
      <c r="F69" s="34" t="str">
        <f>IF(D69="", "", IFERROR(INDEX('Tableau de bord'!C:C, MATCH(D69, 'Tableau de bord'!B:B, 0)), INDEX('Tableau de bord'!H:H, MATCH(D69, 'Tableau de bord'!G:G, 0))))</f>
        <v/>
      </c>
      <c r="G69" s="34" t="str">
        <f t="shared" si="1"/>
        <v/>
      </c>
      <c r="H69" s="80"/>
      <c r="I69" s="115"/>
    </row>
    <row r="70" spans="1:9" x14ac:dyDescent="0.3">
      <c r="A70" s="34"/>
      <c r="B70" s="34"/>
      <c r="C70" s="34"/>
      <c r="D70" s="34"/>
      <c r="E70" s="34"/>
      <c r="F70" s="34" t="str">
        <f>IF(D70="", "", IFERROR(INDEX('Tableau de bord'!C:C, MATCH(D70, 'Tableau de bord'!B:B, 0)), INDEX('Tableau de bord'!H:H, MATCH(D70, 'Tableau de bord'!G:G, 0))))</f>
        <v/>
      </c>
      <c r="G70" s="34" t="str">
        <f t="shared" si="1"/>
        <v/>
      </c>
      <c r="H70" s="80"/>
      <c r="I70" s="115"/>
    </row>
    <row r="71" spans="1:9" x14ac:dyDescent="0.3">
      <c r="A71" s="34"/>
      <c r="B71" s="34"/>
      <c r="C71" s="34"/>
      <c r="D71" s="34"/>
      <c r="E71" s="34"/>
      <c r="F71" s="34" t="str">
        <f>IF(D71="", "", IFERROR(INDEX('Tableau de bord'!C:C, MATCH(D71, 'Tableau de bord'!B:B, 0)), INDEX('Tableau de bord'!H:H, MATCH(D71, 'Tableau de bord'!G:G, 0))))</f>
        <v/>
      </c>
      <c r="G71" s="34" t="str">
        <f t="shared" si="1"/>
        <v/>
      </c>
      <c r="H71" s="80"/>
      <c r="I71" s="115"/>
    </row>
    <row r="72" spans="1:9" x14ac:dyDescent="0.3">
      <c r="A72" s="34"/>
      <c r="B72" s="34"/>
      <c r="C72" s="34"/>
      <c r="D72" s="34"/>
      <c r="E72" s="34"/>
      <c r="F72" s="34" t="str">
        <f>IF(D72="", "", IFERROR(INDEX('Tableau de bord'!C:C, MATCH(D72, 'Tableau de bord'!B:B, 0)), INDEX('Tableau de bord'!H:H, MATCH(D72, 'Tableau de bord'!G:G, 0))))</f>
        <v/>
      </c>
      <c r="G72" s="34" t="str">
        <f t="shared" si="1"/>
        <v/>
      </c>
      <c r="H72" s="80"/>
      <c r="I72" s="115"/>
    </row>
    <row r="73" spans="1:9" x14ac:dyDescent="0.3">
      <c r="A73" s="34"/>
      <c r="B73" s="34"/>
      <c r="C73" s="34"/>
      <c r="D73" s="34"/>
      <c r="E73" s="34"/>
      <c r="F73" s="34" t="str">
        <f>IF(D73="", "", IFERROR(INDEX('Tableau de bord'!C:C, MATCH(D73, 'Tableau de bord'!B:B, 0)), INDEX('Tableau de bord'!H:H, MATCH(D73, 'Tableau de bord'!G:G, 0))))</f>
        <v/>
      </c>
      <c r="G73" s="34" t="str">
        <f t="shared" si="1"/>
        <v/>
      </c>
      <c r="H73" s="80"/>
      <c r="I73" s="115"/>
    </row>
    <row r="74" spans="1:9" x14ac:dyDescent="0.3">
      <c r="A74" s="34"/>
      <c r="B74" s="34"/>
      <c r="C74" s="34"/>
      <c r="D74" s="34"/>
      <c r="E74" s="34"/>
      <c r="F74" s="34" t="str">
        <f>IF(D74="", "", IFERROR(INDEX('Tableau de bord'!C:C, MATCH(D74, 'Tableau de bord'!B:B, 0)), INDEX('Tableau de bord'!H:H, MATCH(D74, 'Tableau de bord'!G:G, 0))))</f>
        <v/>
      </c>
      <c r="G74" s="34" t="str">
        <f t="shared" si="1"/>
        <v/>
      </c>
      <c r="H74" s="80"/>
      <c r="I74" s="115"/>
    </row>
    <row r="75" spans="1:9" x14ac:dyDescent="0.3">
      <c r="A75" s="34"/>
      <c r="B75" s="34"/>
      <c r="C75" s="34"/>
      <c r="D75" s="34"/>
      <c r="E75" s="34"/>
      <c r="F75" s="34" t="str">
        <f>IF(D75="", "", IFERROR(INDEX('Tableau de bord'!C:C, MATCH(D75, 'Tableau de bord'!B:B, 0)), INDEX('Tableau de bord'!H:H, MATCH(D75, 'Tableau de bord'!G:G, 0))))</f>
        <v/>
      </c>
      <c r="G75" s="34" t="str">
        <f t="shared" si="1"/>
        <v/>
      </c>
      <c r="H75" s="80"/>
      <c r="I75" s="115"/>
    </row>
    <row r="76" spans="1:9" x14ac:dyDescent="0.3">
      <c r="A76" s="34"/>
      <c r="B76" s="34"/>
      <c r="C76" s="34"/>
      <c r="D76" s="34"/>
      <c r="E76" s="34"/>
      <c r="F76" s="34" t="str">
        <f>IF(D76="", "", IFERROR(INDEX('Tableau de bord'!C:C, MATCH(D76, 'Tableau de bord'!B:B, 0)), INDEX('Tableau de bord'!H:H, MATCH(D76, 'Tableau de bord'!G:G, 0))))</f>
        <v/>
      </c>
      <c r="G76" s="34" t="str">
        <f t="shared" si="1"/>
        <v/>
      </c>
      <c r="H76" s="80"/>
      <c r="I76" s="115"/>
    </row>
    <row r="77" spans="1:9" x14ac:dyDescent="0.3">
      <c r="A77" s="34"/>
      <c r="B77" s="34"/>
      <c r="C77" s="34"/>
      <c r="D77" s="34"/>
      <c r="E77" s="34"/>
      <c r="F77" s="34" t="str">
        <f>IF(D77="", "", IFERROR(INDEX('Tableau de bord'!C:C, MATCH(D77, 'Tableau de bord'!B:B, 0)), INDEX('Tableau de bord'!H:H, MATCH(D77, 'Tableau de bord'!G:G, 0))))</f>
        <v/>
      </c>
      <c r="G77" s="34" t="str">
        <f t="shared" si="1"/>
        <v/>
      </c>
      <c r="H77" s="80"/>
      <c r="I77" s="115"/>
    </row>
    <row r="78" spans="1:9" x14ac:dyDescent="0.3">
      <c r="A78" s="34"/>
      <c r="B78" s="34"/>
      <c r="C78" s="34"/>
      <c r="D78" s="34"/>
      <c r="E78" s="34"/>
      <c r="F78" s="34" t="str">
        <f>IF(D78="", "", IFERROR(INDEX('Tableau de bord'!C:C, MATCH(D78, 'Tableau de bord'!B:B, 0)), INDEX('Tableau de bord'!H:H, MATCH(D78, 'Tableau de bord'!G:G, 0))))</f>
        <v/>
      </c>
      <c r="G78" s="34" t="str">
        <f t="shared" si="1"/>
        <v/>
      </c>
      <c r="H78" s="80"/>
      <c r="I78" s="115"/>
    </row>
    <row r="79" spans="1:9" x14ac:dyDescent="0.3">
      <c r="A79" s="34"/>
      <c r="B79" s="34"/>
      <c r="C79" s="34"/>
      <c r="D79" s="34"/>
      <c r="E79" s="34"/>
      <c r="F79" s="34" t="str">
        <f>IF(D79="", "", IFERROR(INDEX('Tableau de bord'!C:C, MATCH(D79, 'Tableau de bord'!B:B, 0)), INDEX('Tableau de bord'!H:H, MATCH(D79, 'Tableau de bord'!G:G, 0))))</f>
        <v/>
      </c>
      <c r="G79" s="34" t="str">
        <f t="shared" si="1"/>
        <v/>
      </c>
      <c r="H79" s="80"/>
      <c r="I79" s="115"/>
    </row>
    <row r="80" spans="1:9" x14ac:dyDescent="0.3">
      <c r="A80" s="34"/>
      <c r="B80" s="34"/>
      <c r="C80" s="34"/>
      <c r="D80" s="34"/>
      <c r="E80" s="34"/>
      <c r="F80" s="34" t="str">
        <f>IF(D80="", "", IFERROR(INDEX('Tableau de bord'!C:C, MATCH(D80, 'Tableau de bord'!B:B, 0)), INDEX('Tableau de bord'!H:H, MATCH(D80, 'Tableau de bord'!G:G, 0))))</f>
        <v/>
      </c>
      <c r="G80" s="34" t="str">
        <f t="shared" si="1"/>
        <v/>
      </c>
      <c r="H80" s="80"/>
      <c r="I80" s="115"/>
    </row>
    <row r="81" spans="1:9" x14ac:dyDescent="0.3">
      <c r="A81" s="34"/>
      <c r="B81" s="34"/>
      <c r="C81" s="34"/>
      <c r="D81" s="34"/>
      <c r="E81" s="34"/>
      <c r="F81" s="34" t="str">
        <f>IF(D81="", "", IFERROR(INDEX('Tableau de bord'!C:C, MATCH(D81, 'Tableau de bord'!B:B, 0)), INDEX('Tableau de bord'!H:H, MATCH(D81, 'Tableau de bord'!G:G, 0))))</f>
        <v/>
      </c>
      <c r="G81" s="34" t="str">
        <f t="shared" si="1"/>
        <v/>
      </c>
      <c r="H81" s="80"/>
      <c r="I81" s="115"/>
    </row>
    <row r="82" spans="1:9" x14ac:dyDescent="0.3">
      <c r="A82" s="34"/>
      <c r="B82" s="34"/>
      <c r="C82" s="34"/>
      <c r="D82" s="34"/>
      <c r="E82" s="34"/>
      <c r="F82" s="34" t="str">
        <f>IF(D82="", "", IFERROR(INDEX('Tableau de bord'!C:C, MATCH(D82, 'Tableau de bord'!B:B, 0)), INDEX('Tableau de bord'!H:H, MATCH(D82, 'Tableau de bord'!G:G, 0))))</f>
        <v/>
      </c>
      <c r="G82" s="34" t="str">
        <f t="shared" si="1"/>
        <v/>
      </c>
      <c r="H82" s="80"/>
      <c r="I82" s="115"/>
    </row>
    <row r="83" spans="1:9" x14ac:dyDescent="0.3">
      <c r="A83" s="34"/>
      <c r="B83" s="34"/>
      <c r="C83" s="34"/>
      <c r="D83" s="34"/>
      <c r="E83" s="34"/>
      <c r="F83" s="34" t="str">
        <f>IF(D83="", "", IFERROR(INDEX('Tableau de bord'!C:C, MATCH(D83, 'Tableau de bord'!B:B, 0)), INDEX('Tableau de bord'!H:H, MATCH(D83, 'Tableau de bord'!G:G, 0))))</f>
        <v/>
      </c>
      <c r="G83" s="34" t="str">
        <f t="shared" si="1"/>
        <v/>
      </c>
      <c r="H83" s="80"/>
      <c r="I83" s="115"/>
    </row>
    <row r="84" spans="1:9" x14ac:dyDescent="0.3">
      <c r="A84" s="34"/>
      <c r="B84" s="34"/>
      <c r="C84" s="34"/>
      <c r="D84" s="34"/>
      <c r="E84" s="34"/>
      <c r="F84" s="34" t="str">
        <f>IF(D84="", "", IFERROR(INDEX('Tableau de bord'!C:C, MATCH(D84, 'Tableau de bord'!B:B, 0)), INDEX('Tableau de bord'!H:H, MATCH(D84, 'Tableau de bord'!G:G, 0))))</f>
        <v/>
      </c>
      <c r="G84" s="34" t="str">
        <f t="shared" si="1"/>
        <v/>
      </c>
      <c r="H84" s="80"/>
      <c r="I84" s="115"/>
    </row>
    <row r="85" spans="1:9" x14ac:dyDescent="0.3">
      <c r="A85" s="34"/>
      <c r="B85" s="34"/>
      <c r="C85" s="34"/>
      <c r="D85" s="34"/>
      <c r="E85" s="34"/>
      <c r="F85" s="34" t="str">
        <f>IF(D85="", "", IFERROR(INDEX('Tableau de bord'!C:C, MATCH(D85, 'Tableau de bord'!B:B, 0)), INDEX('Tableau de bord'!H:H, MATCH(D85, 'Tableau de bord'!G:G, 0))))</f>
        <v/>
      </c>
      <c r="G85" s="34" t="str">
        <f t="shared" si="1"/>
        <v/>
      </c>
      <c r="H85" s="80"/>
      <c r="I85" s="115"/>
    </row>
    <row r="86" spans="1:9" x14ac:dyDescent="0.3">
      <c r="A86" s="34"/>
      <c r="B86" s="34"/>
      <c r="C86" s="34"/>
      <c r="D86" s="34"/>
      <c r="E86" s="34"/>
      <c r="F86" s="34" t="str">
        <f>IF(D86="", "", IFERROR(INDEX('Tableau de bord'!C:C, MATCH(D86, 'Tableau de bord'!B:B, 0)), INDEX('Tableau de bord'!H:H, MATCH(D86, 'Tableau de bord'!G:G, 0))))</f>
        <v/>
      </c>
      <c r="G86" s="34" t="str">
        <f t="shared" si="1"/>
        <v/>
      </c>
      <c r="H86" s="80"/>
      <c r="I86" s="115"/>
    </row>
    <row r="87" spans="1:9" x14ac:dyDescent="0.3">
      <c r="A87" s="34"/>
      <c r="B87" s="34"/>
      <c r="C87" s="34"/>
      <c r="D87" s="34"/>
      <c r="E87" s="34"/>
      <c r="F87" s="34" t="str">
        <f>IF(D87="", "", IFERROR(INDEX('Tableau de bord'!C:C, MATCH(D87, 'Tableau de bord'!B:B, 0)), INDEX('Tableau de bord'!H:H, MATCH(D87, 'Tableau de bord'!G:G, 0))))</f>
        <v/>
      </c>
      <c r="G87" s="34" t="str">
        <f t="shared" si="1"/>
        <v/>
      </c>
      <c r="H87" s="80"/>
      <c r="I87" s="115"/>
    </row>
    <row r="88" spans="1:9" x14ac:dyDescent="0.3">
      <c r="A88" s="34"/>
      <c r="B88" s="34"/>
      <c r="C88" s="34"/>
      <c r="D88" s="34"/>
      <c r="E88" s="34"/>
      <c r="F88" s="34" t="str">
        <f>IF(D88="", "", IFERROR(INDEX('Tableau de bord'!C:C, MATCH(D88, 'Tableau de bord'!B:B, 0)), INDEX('Tableau de bord'!H:H, MATCH(D88, 'Tableau de bord'!G:G, 0))))</f>
        <v/>
      </c>
      <c r="G88" s="34" t="str">
        <f t="shared" si="1"/>
        <v/>
      </c>
      <c r="H88" s="80"/>
      <c r="I88" s="115"/>
    </row>
    <row r="89" spans="1:9" x14ac:dyDescent="0.3">
      <c r="A89" s="34"/>
      <c r="B89" s="34"/>
      <c r="C89" s="34"/>
      <c r="D89" s="34"/>
      <c r="E89" s="34"/>
      <c r="F89" s="34" t="str">
        <f>IF(D89="", "", IFERROR(INDEX('Tableau de bord'!C:C, MATCH(D89, 'Tableau de bord'!B:B, 0)), INDEX('Tableau de bord'!H:H, MATCH(D89, 'Tableau de bord'!G:G, 0))))</f>
        <v/>
      </c>
      <c r="G89" s="34" t="str">
        <f t="shared" si="1"/>
        <v/>
      </c>
      <c r="H89" s="80"/>
      <c r="I89" s="115"/>
    </row>
    <row r="90" spans="1:9" x14ac:dyDescent="0.3">
      <c r="A90" s="34"/>
      <c r="B90" s="34"/>
      <c r="C90" s="34"/>
      <c r="D90" s="34"/>
      <c r="E90" s="34"/>
      <c r="F90" s="34" t="str">
        <f>IF(D90="", "", IFERROR(INDEX('Tableau de bord'!C:C, MATCH(D90, 'Tableau de bord'!B:B, 0)), INDEX('Tableau de bord'!H:H, MATCH(D90, 'Tableau de bord'!G:G, 0))))</f>
        <v/>
      </c>
      <c r="G90" s="34" t="str">
        <f t="shared" si="1"/>
        <v/>
      </c>
      <c r="H90" s="80"/>
      <c r="I90" s="115"/>
    </row>
    <row r="91" spans="1:9" x14ac:dyDescent="0.3">
      <c r="A91" s="34"/>
      <c r="B91" s="34"/>
      <c r="C91" s="34"/>
      <c r="D91" s="34"/>
      <c r="E91" s="34"/>
      <c r="F91" s="34" t="str">
        <f>IF(D91="", "", IFERROR(INDEX('Tableau de bord'!C:C, MATCH(D91, 'Tableau de bord'!B:B, 0)), INDEX('Tableau de bord'!H:H, MATCH(D91, 'Tableau de bord'!G:G, 0))))</f>
        <v/>
      </c>
      <c r="G91" s="34" t="str">
        <f t="shared" si="1"/>
        <v/>
      </c>
      <c r="H91" s="80"/>
      <c r="I91" s="115"/>
    </row>
    <row r="92" spans="1:9" x14ac:dyDescent="0.3">
      <c r="A92" s="34"/>
      <c r="B92" s="34"/>
      <c r="C92" s="34"/>
      <c r="D92" s="34"/>
      <c r="E92" s="34"/>
      <c r="F92" s="34" t="str">
        <f>IF(D92="", "", IFERROR(INDEX('Tableau de bord'!C:C, MATCH(D92, 'Tableau de bord'!B:B, 0)), INDEX('Tableau de bord'!H:H, MATCH(D92, 'Tableau de bord'!G:G, 0))))</f>
        <v/>
      </c>
      <c r="G92" s="34" t="str">
        <f t="shared" si="1"/>
        <v/>
      </c>
      <c r="H92" s="80"/>
      <c r="I92" s="115"/>
    </row>
    <row r="93" spans="1:9" x14ac:dyDescent="0.3">
      <c r="A93" s="34"/>
      <c r="B93" s="34"/>
      <c r="C93" s="34"/>
      <c r="D93" s="34"/>
      <c r="E93" s="34"/>
      <c r="F93" s="34" t="str">
        <f>IF(D93="", "", IFERROR(INDEX('Tableau de bord'!C:C, MATCH(D93, 'Tableau de bord'!B:B, 0)), INDEX('Tableau de bord'!H:H, MATCH(D93, 'Tableau de bord'!G:G, 0))))</f>
        <v/>
      </c>
      <c r="G93" s="34" t="str">
        <f t="shared" si="1"/>
        <v/>
      </c>
      <c r="H93" s="80"/>
      <c r="I93" s="115"/>
    </row>
    <row r="94" spans="1:9" x14ac:dyDescent="0.3">
      <c r="A94" s="34"/>
      <c r="B94" s="34"/>
      <c r="C94" s="34"/>
      <c r="D94" s="34"/>
      <c r="E94" s="34"/>
      <c r="F94" s="34" t="str">
        <f>IF(D94="", "", IFERROR(INDEX('Tableau de bord'!C:C, MATCH(D94, 'Tableau de bord'!B:B, 0)), INDEX('Tableau de bord'!H:H, MATCH(D94, 'Tableau de bord'!G:G, 0))))</f>
        <v/>
      </c>
      <c r="G94" s="34" t="str">
        <f t="shared" si="1"/>
        <v/>
      </c>
      <c r="H94" s="80"/>
      <c r="I94" s="115"/>
    </row>
    <row r="95" spans="1:9" x14ac:dyDescent="0.3">
      <c r="A95" s="34"/>
      <c r="B95" s="34"/>
      <c r="C95" s="34"/>
      <c r="D95" s="34"/>
      <c r="E95" s="34"/>
      <c r="F95" s="34" t="str">
        <f>IF(D95="", "", IFERROR(INDEX('Tableau de bord'!C:C, MATCH(D95, 'Tableau de bord'!B:B, 0)), INDEX('Tableau de bord'!H:H, MATCH(D95, 'Tableau de bord'!G:G, 0))))</f>
        <v/>
      </c>
      <c r="G95" s="34" t="str">
        <f t="shared" si="1"/>
        <v/>
      </c>
      <c r="H95" s="80"/>
      <c r="I95" s="115"/>
    </row>
    <row r="96" spans="1:9" x14ac:dyDescent="0.3">
      <c r="A96" s="34"/>
      <c r="B96" s="34"/>
      <c r="C96" s="34"/>
      <c r="D96" s="34"/>
      <c r="E96" s="34"/>
      <c r="F96" s="34" t="str">
        <f>IF(D96="", "", IFERROR(INDEX('Tableau de bord'!C:C, MATCH(D96, 'Tableau de bord'!B:B, 0)), INDEX('Tableau de bord'!H:H, MATCH(D96, 'Tableau de bord'!G:G, 0))))</f>
        <v/>
      </c>
      <c r="G96" s="34" t="str">
        <f t="shared" si="1"/>
        <v/>
      </c>
      <c r="H96" s="80"/>
      <c r="I96" s="115"/>
    </row>
    <row r="97" spans="1:9" x14ac:dyDescent="0.3">
      <c r="A97" s="34"/>
      <c r="B97" s="34"/>
      <c r="C97" s="34"/>
      <c r="D97" s="34"/>
      <c r="E97" s="34"/>
      <c r="F97" s="34" t="str">
        <f>IF(D97="", "", IFERROR(INDEX('Tableau de bord'!C:C, MATCH(D97, 'Tableau de bord'!B:B, 0)), INDEX('Tableau de bord'!H:H, MATCH(D97, 'Tableau de bord'!G:G, 0))))</f>
        <v/>
      </c>
      <c r="G97" s="34" t="str">
        <f t="shared" si="1"/>
        <v/>
      </c>
      <c r="H97" s="80"/>
      <c r="I97" s="115"/>
    </row>
    <row r="98" spans="1:9" x14ac:dyDescent="0.3">
      <c r="A98" s="34"/>
      <c r="B98" s="34"/>
      <c r="C98" s="34"/>
      <c r="D98" s="34"/>
      <c r="E98" s="34"/>
      <c r="F98" s="34" t="str">
        <f>IF(D98="", "", IFERROR(INDEX('Tableau de bord'!C:C, MATCH(D98, 'Tableau de bord'!B:B, 0)), INDEX('Tableau de bord'!H:H, MATCH(D98, 'Tableau de bord'!G:G, 0))))</f>
        <v/>
      </c>
      <c r="G98" s="34" t="str">
        <f t="shared" si="1"/>
        <v/>
      </c>
      <c r="H98" s="80"/>
      <c r="I98" s="115"/>
    </row>
    <row r="99" spans="1:9" x14ac:dyDescent="0.3">
      <c r="A99" s="34"/>
      <c r="B99" s="34"/>
      <c r="C99" s="34"/>
      <c r="D99" s="34"/>
      <c r="E99" s="34"/>
      <c r="F99" s="34" t="str">
        <f>IF(D99="", "", IFERROR(INDEX('Tableau de bord'!C:C, MATCH(D99, 'Tableau de bord'!B:B, 0)), INDEX('Tableau de bord'!H:H, MATCH(D99, 'Tableau de bord'!G:G, 0))))</f>
        <v/>
      </c>
      <c r="G99" s="34" t="str">
        <f t="shared" si="1"/>
        <v/>
      </c>
      <c r="H99" s="80"/>
      <c r="I99" s="115"/>
    </row>
    <row r="100" spans="1:9" x14ac:dyDescent="0.3">
      <c r="A100" s="34"/>
      <c r="B100" s="34"/>
      <c r="C100" s="34"/>
      <c r="D100" s="34"/>
      <c r="E100" s="34"/>
      <c r="F100" s="34" t="str">
        <f>IF(D100="", "", IFERROR(INDEX('Tableau de bord'!C:C, MATCH(D100, 'Tableau de bord'!B:B, 0)), INDEX('Tableau de bord'!H:H, MATCH(D100, 'Tableau de bord'!G:G, 0))))</f>
        <v/>
      </c>
      <c r="G100" s="34" t="str">
        <f t="shared" si="1"/>
        <v/>
      </c>
      <c r="H100" s="80"/>
      <c r="I100" s="115"/>
    </row>
    <row r="101" spans="1:9" x14ac:dyDescent="0.3">
      <c r="A101" s="34"/>
      <c r="B101" s="34"/>
      <c r="C101" s="34"/>
      <c r="D101" s="34"/>
      <c r="E101" s="34"/>
      <c r="F101" s="34" t="str">
        <f>IF(D101="", "", IFERROR(INDEX('Tableau de bord'!C:C, MATCH(D101, 'Tableau de bord'!B:B, 0)), INDEX('Tableau de bord'!H:H, MATCH(D101, 'Tableau de bord'!G:G, 0))))</f>
        <v/>
      </c>
      <c r="G101" s="34" t="str">
        <f t="shared" si="1"/>
        <v/>
      </c>
      <c r="H101" s="80"/>
      <c r="I101" s="115"/>
    </row>
    <row r="102" spans="1:9" x14ac:dyDescent="0.3">
      <c r="A102" s="34"/>
      <c r="B102" s="34"/>
      <c r="C102" s="34"/>
      <c r="D102" s="34"/>
      <c r="E102" s="34"/>
      <c r="F102" s="34" t="str">
        <f>IF(D102="", "", IFERROR(INDEX('Tableau de bord'!C:C, MATCH(D102, 'Tableau de bord'!B:B, 0)), INDEX('Tableau de bord'!H:H, MATCH(D102, 'Tableau de bord'!G:G, 0))))</f>
        <v/>
      </c>
      <c r="G102" s="34" t="str">
        <f t="shared" si="1"/>
        <v/>
      </c>
      <c r="H102" s="80"/>
      <c r="I102" s="115"/>
    </row>
    <row r="103" spans="1:9" x14ac:dyDescent="0.3">
      <c r="A103" s="34"/>
      <c r="B103" s="34"/>
      <c r="C103" s="34"/>
      <c r="D103" s="34"/>
      <c r="E103" s="34"/>
      <c r="F103" s="34" t="str">
        <f>IF(D103="", "", IFERROR(INDEX('Tableau de bord'!C:C, MATCH(D103, 'Tableau de bord'!B:B, 0)), INDEX('Tableau de bord'!H:H, MATCH(D103, 'Tableau de bord'!G:G, 0))))</f>
        <v/>
      </c>
      <c r="G103" s="34" t="str">
        <f t="shared" si="1"/>
        <v/>
      </c>
      <c r="H103" s="80"/>
      <c r="I103" s="115"/>
    </row>
    <row r="104" spans="1:9" x14ac:dyDescent="0.3">
      <c r="A104" s="34"/>
      <c r="B104" s="34"/>
      <c r="C104" s="34"/>
      <c r="D104" s="34"/>
      <c r="E104" s="34"/>
      <c r="F104" s="34" t="str">
        <f>IF(D104="", "", IFERROR(INDEX('Tableau de bord'!C:C, MATCH(D104, 'Tableau de bord'!B:B, 0)), INDEX('Tableau de bord'!H:H, MATCH(D104, 'Tableau de bord'!G:G, 0))))</f>
        <v/>
      </c>
      <c r="G104" s="34" t="str">
        <f t="shared" si="1"/>
        <v/>
      </c>
      <c r="H104" s="80"/>
      <c r="I104" s="115"/>
    </row>
    <row r="105" spans="1:9" x14ac:dyDescent="0.3">
      <c r="A105" s="34"/>
      <c r="B105" s="34"/>
      <c r="C105" s="34"/>
      <c r="D105" s="34"/>
      <c r="E105" s="34"/>
      <c r="F105" s="34" t="str">
        <f>IF(D105="", "", IFERROR(INDEX('Tableau de bord'!C:C, MATCH(D105, 'Tableau de bord'!B:B, 0)), INDEX('Tableau de bord'!H:H, MATCH(D105, 'Tableau de bord'!G:G, 0))))</f>
        <v/>
      </c>
      <c r="G105" s="34" t="str">
        <f t="shared" si="1"/>
        <v/>
      </c>
      <c r="H105" s="80"/>
      <c r="I105" s="115"/>
    </row>
    <row r="106" spans="1:9" x14ac:dyDescent="0.3">
      <c r="A106" s="34"/>
      <c r="B106" s="34"/>
      <c r="C106" s="34"/>
      <c r="D106" s="34"/>
      <c r="E106" s="34"/>
      <c r="F106" s="34" t="str">
        <f>IF(D106="", "", IFERROR(INDEX('Tableau de bord'!C:C, MATCH(D106, 'Tableau de bord'!B:B, 0)), INDEX('Tableau de bord'!H:H, MATCH(D106, 'Tableau de bord'!G:G, 0))))</f>
        <v/>
      </c>
      <c r="G106" s="34" t="str">
        <f t="shared" si="1"/>
        <v/>
      </c>
      <c r="H106" s="80"/>
      <c r="I106" s="115"/>
    </row>
    <row r="107" spans="1:9" x14ac:dyDescent="0.3">
      <c r="A107" s="34"/>
      <c r="B107" s="34"/>
      <c r="C107" s="34"/>
      <c r="D107" s="34"/>
      <c r="E107" s="34"/>
      <c r="F107" s="34" t="str">
        <f>IF(D107="", "", IFERROR(INDEX('Tableau de bord'!C:C, MATCH(D107, 'Tableau de bord'!B:B, 0)), INDEX('Tableau de bord'!H:H, MATCH(D107, 'Tableau de bord'!G:G, 0))))</f>
        <v/>
      </c>
      <c r="G107" s="34" t="str">
        <f t="shared" si="1"/>
        <v/>
      </c>
      <c r="H107" s="80"/>
      <c r="I107" s="115"/>
    </row>
    <row r="108" spans="1:9" x14ac:dyDescent="0.3">
      <c r="A108" s="34"/>
      <c r="B108" s="34"/>
      <c r="C108" s="34"/>
      <c r="D108" s="34"/>
      <c r="E108" s="34"/>
      <c r="F108" s="34" t="str">
        <f>IF(D108="", "", IFERROR(INDEX('Tableau de bord'!C:C, MATCH(D108, 'Tableau de bord'!B:B, 0)), INDEX('Tableau de bord'!H:H, MATCH(D108, 'Tableau de bord'!G:G, 0))))</f>
        <v/>
      </c>
      <c r="G108" s="34" t="str">
        <f t="shared" si="1"/>
        <v/>
      </c>
      <c r="H108" s="80"/>
      <c r="I108" s="115"/>
    </row>
    <row r="109" spans="1:9" x14ac:dyDescent="0.3">
      <c r="A109" s="34"/>
      <c r="B109" s="34"/>
      <c r="C109" s="34"/>
      <c r="D109" s="34"/>
      <c r="E109" s="34"/>
      <c r="F109" s="34" t="str">
        <f>IF(D109="", "", IFERROR(INDEX('Tableau de bord'!C:C, MATCH(D109, 'Tableau de bord'!B:B, 0)), INDEX('Tableau de bord'!H:H, MATCH(D109, 'Tableau de bord'!G:G, 0))))</f>
        <v/>
      </c>
      <c r="G109" s="34" t="str">
        <f t="shared" si="1"/>
        <v/>
      </c>
      <c r="H109" s="80"/>
      <c r="I109" s="115"/>
    </row>
    <row r="110" spans="1:9" x14ac:dyDescent="0.3">
      <c r="A110" s="34"/>
      <c r="B110" s="34"/>
      <c r="C110" s="34"/>
      <c r="D110" s="34"/>
      <c r="E110" s="34"/>
      <c r="F110" s="34" t="str">
        <f>IF(D110="", "", IFERROR(INDEX('Tableau de bord'!C:C, MATCH(D110, 'Tableau de bord'!B:B, 0)), INDEX('Tableau de bord'!H:H, MATCH(D110, 'Tableau de bord'!G:G, 0))))</f>
        <v/>
      </c>
      <c r="G110" s="34" t="str">
        <f t="shared" si="1"/>
        <v/>
      </c>
      <c r="H110" s="80"/>
      <c r="I110" s="115"/>
    </row>
    <row r="111" spans="1:9" x14ac:dyDescent="0.3">
      <c r="A111" s="34"/>
      <c r="B111" s="34"/>
      <c r="C111" s="34"/>
      <c r="D111" s="34"/>
      <c r="E111" s="34"/>
      <c r="F111" s="34" t="str">
        <f>IF(D111="", "", IFERROR(INDEX('Tableau de bord'!C:C, MATCH(D111, 'Tableau de bord'!B:B, 0)), INDEX('Tableau de bord'!H:H, MATCH(D111, 'Tableau de bord'!G:G, 0))))</f>
        <v/>
      </c>
      <c r="G111" s="34" t="str">
        <f t="shared" si="1"/>
        <v/>
      </c>
      <c r="H111" s="80"/>
      <c r="I111" s="115"/>
    </row>
    <row r="112" spans="1:9" x14ac:dyDescent="0.3">
      <c r="A112" s="34"/>
      <c r="B112" s="34"/>
      <c r="C112" s="34"/>
      <c r="D112" s="34"/>
      <c r="E112" s="34"/>
      <c r="F112" s="34" t="str">
        <f>IF(D112="", "", IFERROR(INDEX('Tableau de bord'!C:C, MATCH(D112, 'Tableau de bord'!B:B, 0)), INDEX('Tableau de bord'!H:H, MATCH(D112, 'Tableau de bord'!G:G, 0))))</f>
        <v/>
      </c>
      <c r="G112" s="34" t="str">
        <f t="shared" si="1"/>
        <v/>
      </c>
      <c r="H112" s="80"/>
      <c r="I112" s="115"/>
    </row>
    <row r="113" spans="1:9" x14ac:dyDescent="0.3">
      <c r="A113" s="34"/>
      <c r="B113" s="34"/>
      <c r="C113" s="34"/>
      <c r="D113" s="34"/>
      <c r="E113" s="34"/>
      <c r="F113" s="34" t="str">
        <f>IF(D113="", "", IFERROR(INDEX('Tableau de bord'!C:C, MATCH(D113, 'Tableau de bord'!B:B, 0)), INDEX('Tableau de bord'!H:H, MATCH(D113, 'Tableau de bord'!G:G, 0))))</f>
        <v/>
      </c>
      <c r="G113" s="34" t="str">
        <f t="shared" si="1"/>
        <v/>
      </c>
      <c r="H113" s="80"/>
      <c r="I113" s="115"/>
    </row>
    <row r="114" spans="1:9" x14ac:dyDescent="0.3">
      <c r="A114" s="34"/>
      <c r="B114" s="34"/>
      <c r="C114" s="34"/>
      <c r="D114" s="34"/>
      <c r="E114" s="34"/>
      <c r="F114" s="34" t="str">
        <f>IF(D114="", "", IFERROR(INDEX('Tableau de bord'!C:C, MATCH(D114, 'Tableau de bord'!B:B, 0)), INDEX('Tableau de bord'!H:H, MATCH(D114, 'Tableau de bord'!G:G, 0))))</f>
        <v/>
      </c>
      <c r="G114" s="34" t="str">
        <f t="shared" si="1"/>
        <v/>
      </c>
      <c r="H114" s="80"/>
      <c r="I114" s="115"/>
    </row>
    <row r="115" spans="1:9" x14ac:dyDescent="0.3">
      <c r="A115" s="34"/>
      <c r="B115" s="34"/>
      <c r="C115" s="34"/>
      <c r="D115" s="34"/>
      <c r="E115" s="34"/>
      <c r="F115" s="34" t="str">
        <f>IF(D115="", "", IFERROR(INDEX('Tableau de bord'!C:C, MATCH(D115, 'Tableau de bord'!B:B, 0)), INDEX('Tableau de bord'!H:H, MATCH(D115, 'Tableau de bord'!G:G, 0))))</f>
        <v/>
      </c>
      <c r="G115" s="34" t="str">
        <f t="shared" si="1"/>
        <v/>
      </c>
      <c r="H115" s="80"/>
      <c r="I115" s="115"/>
    </row>
    <row r="116" spans="1:9" x14ac:dyDescent="0.3">
      <c r="A116" s="34"/>
      <c r="B116" s="34"/>
      <c r="C116" s="34"/>
      <c r="D116" s="34"/>
      <c r="E116" s="34"/>
      <c r="F116" s="34" t="str">
        <f>IF(D116="", "", IFERROR(INDEX('Tableau de bord'!C:C, MATCH(D116, 'Tableau de bord'!B:B, 0)), INDEX('Tableau de bord'!H:H, MATCH(D116, 'Tableau de bord'!G:G, 0))))</f>
        <v/>
      </c>
      <c r="G116" s="34" t="str">
        <f t="shared" si="1"/>
        <v/>
      </c>
      <c r="H116" s="80"/>
      <c r="I116" s="115"/>
    </row>
    <row r="117" spans="1:9" x14ac:dyDescent="0.3">
      <c r="A117" s="34"/>
      <c r="B117" s="34"/>
      <c r="C117" s="34"/>
      <c r="D117" s="34"/>
      <c r="E117" s="34"/>
      <c r="F117" s="34" t="str">
        <f>IF(D117="", "", IFERROR(INDEX('Tableau de bord'!C:C, MATCH(D117, 'Tableau de bord'!B:B, 0)), INDEX('Tableau de bord'!H:H, MATCH(D117, 'Tableau de bord'!G:G, 0))))</f>
        <v/>
      </c>
      <c r="G117" s="34" t="str">
        <f t="shared" si="1"/>
        <v/>
      </c>
      <c r="H117" s="80"/>
      <c r="I117" s="115"/>
    </row>
    <row r="118" spans="1:9" x14ac:dyDescent="0.3">
      <c r="A118" s="34"/>
      <c r="B118" s="34"/>
      <c r="C118" s="34"/>
      <c r="D118" s="34"/>
      <c r="E118" s="34"/>
      <c r="F118" s="34" t="str">
        <f>IF(D118="", "", IFERROR(INDEX('Tableau de bord'!C:C, MATCH(D118, 'Tableau de bord'!B:B, 0)), INDEX('Tableau de bord'!H:H, MATCH(D118, 'Tableau de bord'!G:G, 0))))</f>
        <v/>
      </c>
      <c r="G118" s="34" t="str">
        <f t="shared" si="1"/>
        <v/>
      </c>
      <c r="H118" s="80"/>
      <c r="I118" s="115"/>
    </row>
    <row r="119" spans="1:9" x14ac:dyDescent="0.3">
      <c r="A119" s="34"/>
      <c r="B119" s="34"/>
      <c r="C119" s="34"/>
      <c r="D119" s="34"/>
      <c r="E119" s="34"/>
      <c r="F119" s="34" t="str">
        <f>IF(D119="", "", IFERROR(INDEX('Tableau de bord'!C:C, MATCH(D119, 'Tableau de bord'!B:B, 0)), INDEX('Tableau de bord'!H:H, MATCH(D119, 'Tableau de bord'!G:G, 0))))</f>
        <v/>
      </c>
      <c r="G119" s="34" t="str">
        <f t="shared" si="1"/>
        <v/>
      </c>
      <c r="H119" s="80"/>
      <c r="I119" s="115"/>
    </row>
    <row r="120" spans="1:9" x14ac:dyDescent="0.3">
      <c r="A120" s="34"/>
      <c r="B120" s="34"/>
      <c r="C120" s="34"/>
      <c r="D120" s="34"/>
      <c r="E120" s="34"/>
      <c r="F120" s="34" t="str">
        <f>IF(D120="", "", IFERROR(INDEX('Tableau de bord'!C:C, MATCH(D120, 'Tableau de bord'!B:B, 0)), INDEX('Tableau de bord'!H:H, MATCH(D120, 'Tableau de bord'!G:G, 0))))</f>
        <v/>
      </c>
      <c r="G120" s="34" t="str">
        <f t="shared" si="1"/>
        <v/>
      </c>
      <c r="H120" s="80"/>
      <c r="I120" s="115"/>
    </row>
    <row r="121" spans="1:9" x14ac:dyDescent="0.3">
      <c r="A121" s="34"/>
      <c r="B121" s="34"/>
      <c r="C121" s="34"/>
      <c r="D121" s="34"/>
      <c r="E121" s="34"/>
      <c r="F121" s="34" t="str">
        <f>IF(D121="", "", IFERROR(INDEX('Tableau de bord'!C:C, MATCH(D121, 'Tableau de bord'!B:B, 0)), INDEX('Tableau de bord'!H:H, MATCH(D121, 'Tableau de bord'!G:G, 0))))</f>
        <v/>
      </c>
      <c r="G121" s="34" t="str">
        <f t="shared" si="1"/>
        <v/>
      </c>
      <c r="H121" s="80"/>
      <c r="I121" s="115"/>
    </row>
    <row r="122" spans="1:9" x14ac:dyDescent="0.3">
      <c r="A122" s="34"/>
      <c r="B122" s="34"/>
      <c r="C122" s="34"/>
      <c r="D122" s="34"/>
      <c r="E122" s="34"/>
      <c r="F122" s="34" t="str">
        <f>IF(D122="", "", IFERROR(INDEX('Tableau de bord'!C:C, MATCH(D122, 'Tableau de bord'!B:B, 0)), INDEX('Tableau de bord'!H:H, MATCH(D122, 'Tableau de bord'!G:G, 0))))</f>
        <v/>
      </c>
      <c r="G122" s="34" t="str">
        <f t="shared" si="1"/>
        <v/>
      </c>
      <c r="H122" s="80"/>
      <c r="I122" s="115"/>
    </row>
    <row r="123" spans="1:9" x14ac:dyDescent="0.3">
      <c r="A123" s="34"/>
      <c r="B123" s="34"/>
      <c r="C123" s="34"/>
      <c r="D123" s="34"/>
      <c r="E123" s="34"/>
      <c r="F123" s="34" t="str">
        <f>IF(D123="", "", IFERROR(INDEX('Tableau de bord'!C:C, MATCH(D123, 'Tableau de bord'!B:B, 0)), INDEX('Tableau de bord'!H:H, MATCH(D123, 'Tableau de bord'!G:G, 0))))</f>
        <v/>
      </c>
      <c r="G123" s="34" t="str">
        <f t="shared" si="1"/>
        <v/>
      </c>
      <c r="H123" s="80"/>
      <c r="I123" s="115"/>
    </row>
    <row r="124" spans="1:9" x14ac:dyDescent="0.3">
      <c r="A124" s="34"/>
      <c r="B124" s="34"/>
      <c r="C124" s="34"/>
      <c r="D124" s="34"/>
      <c r="E124" s="34"/>
      <c r="F124" s="34" t="str">
        <f>IF(D124="", "", IFERROR(INDEX('Tableau de bord'!C:C, MATCH(D124, 'Tableau de bord'!B:B, 0)), INDEX('Tableau de bord'!H:H, MATCH(D124, 'Tableau de bord'!G:G, 0))))</f>
        <v/>
      </c>
      <c r="G124" s="34" t="str">
        <f t="shared" si="1"/>
        <v/>
      </c>
      <c r="H124" s="80"/>
      <c r="I124" s="115"/>
    </row>
    <row r="125" spans="1:9" x14ac:dyDescent="0.3">
      <c r="A125" s="34"/>
      <c r="B125" s="34"/>
      <c r="C125" s="34"/>
      <c r="D125" s="34"/>
      <c r="E125" s="34"/>
      <c r="F125" s="34" t="str">
        <f>IF(D125="", "", IFERROR(INDEX('Tableau de bord'!C:C, MATCH(D125, 'Tableau de bord'!B:B, 0)), INDEX('Tableau de bord'!H:H, MATCH(D125, 'Tableau de bord'!G:G, 0))))</f>
        <v/>
      </c>
      <c r="G125" s="34" t="str">
        <f t="shared" si="1"/>
        <v/>
      </c>
      <c r="H125" s="80"/>
      <c r="I125" s="115"/>
    </row>
    <row r="126" spans="1:9" x14ac:dyDescent="0.3">
      <c r="A126" s="34"/>
      <c r="B126" s="34"/>
      <c r="C126" s="34"/>
      <c r="D126" s="34"/>
      <c r="E126" s="34"/>
      <c r="F126" s="34" t="str">
        <f>IF(D126="", "", IFERROR(INDEX('Tableau de bord'!C:C, MATCH(D126, 'Tableau de bord'!B:B, 0)), INDEX('Tableau de bord'!H:H, MATCH(D126, 'Tableau de bord'!G:G, 0))))</f>
        <v/>
      </c>
      <c r="G126" s="34" t="str">
        <f t="shared" si="1"/>
        <v/>
      </c>
      <c r="H126" s="80"/>
      <c r="I126" s="115"/>
    </row>
    <row r="127" spans="1:9" x14ac:dyDescent="0.3">
      <c r="A127" s="34"/>
      <c r="B127" s="34"/>
      <c r="C127" s="34"/>
      <c r="D127" s="34"/>
      <c r="E127" s="34"/>
      <c r="F127" s="34" t="str">
        <f>IF(D127="", "", IFERROR(INDEX('Tableau de bord'!C:C, MATCH(D127, 'Tableau de bord'!B:B, 0)), INDEX('Tableau de bord'!H:H, MATCH(D127, 'Tableau de bord'!G:G, 0))))</f>
        <v/>
      </c>
      <c r="G127" s="34" t="str">
        <f t="shared" si="1"/>
        <v/>
      </c>
      <c r="H127" s="80"/>
      <c r="I127" s="115"/>
    </row>
    <row r="128" spans="1:9" x14ac:dyDescent="0.3">
      <c r="A128" s="34"/>
      <c r="B128" s="34"/>
      <c r="C128" s="34"/>
      <c r="D128" s="34"/>
      <c r="E128" s="34"/>
      <c r="F128" s="34" t="str">
        <f>IF(D128="", "", IFERROR(INDEX('Tableau de bord'!C:C, MATCH(D128, 'Tableau de bord'!B:B, 0)), INDEX('Tableau de bord'!H:H, MATCH(D128, 'Tableau de bord'!G:G, 0))))</f>
        <v/>
      </c>
      <c r="G128" s="34" t="str">
        <f t="shared" si="1"/>
        <v/>
      </c>
      <c r="H128" s="80"/>
      <c r="I128" s="115"/>
    </row>
    <row r="129" spans="1:9" x14ac:dyDescent="0.3">
      <c r="A129" s="34"/>
      <c r="B129" s="34"/>
      <c r="C129" s="34"/>
      <c r="D129" s="34"/>
      <c r="E129" s="34"/>
      <c r="F129" s="34" t="str">
        <f>IF(D129="", "", IFERROR(INDEX('Tableau de bord'!C:C, MATCH(D129, 'Tableau de bord'!B:B, 0)), INDEX('Tableau de bord'!H:H, MATCH(D129, 'Tableau de bord'!G:G, 0))))</f>
        <v/>
      </c>
      <c r="G129" s="34" t="str">
        <f t="shared" si="1"/>
        <v/>
      </c>
      <c r="H129" s="80"/>
      <c r="I129" s="115"/>
    </row>
    <row r="130" spans="1:9" x14ac:dyDescent="0.3">
      <c r="A130" s="34"/>
      <c r="B130" s="34"/>
      <c r="C130" s="34"/>
      <c r="D130" s="34"/>
      <c r="E130" s="34"/>
      <c r="F130" s="34" t="str">
        <f>IF(D130="", "", IFERROR(INDEX('Tableau de bord'!C:C, MATCH(D130, 'Tableau de bord'!B:B, 0)), INDEX('Tableau de bord'!H:H, MATCH(D130, 'Tableau de bord'!G:G, 0))))</f>
        <v/>
      </c>
      <c r="G130" s="34" t="str">
        <f t="shared" si="1"/>
        <v/>
      </c>
      <c r="H130" s="80"/>
      <c r="I130" s="115"/>
    </row>
    <row r="131" spans="1:9" x14ac:dyDescent="0.3">
      <c r="A131" s="34"/>
      <c r="B131" s="34"/>
      <c r="C131" s="34"/>
      <c r="D131" s="34"/>
      <c r="E131" s="34"/>
      <c r="F131" s="34" t="str">
        <f>IF(D131="", "", IFERROR(INDEX('Tableau de bord'!C:C, MATCH(D131, 'Tableau de bord'!B:B, 0)), INDEX('Tableau de bord'!H:H, MATCH(D131, 'Tableau de bord'!G:G, 0))))</f>
        <v/>
      </c>
      <c r="G131" s="34" t="str">
        <f t="shared" ref="G131:G194" si="2">IF(OR(E131="", F131=""), "", E131*F131)</f>
        <v/>
      </c>
      <c r="H131" s="80"/>
      <c r="I131" s="115"/>
    </row>
    <row r="132" spans="1:9" x14ac:dyDescent="0.3">
      <c r="A132" s="34"/>
      <c r="B132" s="34"/>
      <c r="C132" s="34"/>
      <c r="D132" s="34"/>
      <c r="E132" s="34"/>
      <c r="F132" s="34" t="str">
        <f>IF(D132="", "", IFERROR(INDEX('Tableau de bord'!C:C, MATCH(D132, 'Tableau de bord'!B:B, 0)), INDEX('Tableau de bord'!H:H, MATCH(D132, 'Tableau de bord'!G:G, 0))))</f>
        <v/>
      </c>
      <c r="G132" s="34" t="str">
        <f t="shared" si="2"/>
        <v/>
      </c>
      <c r="H132" s="80"/>
      <c r="I132" s="115"/>
    </row>
    <row r="133" spans="1:9" x14ac:dyDescent="0.3">
      <c r="A133" s="34"/>
      <c r="B133" s="34"/>
      <c r="C133" s="34"/>
      <c r="D133" s="34"/>
      <c r="E133" s="34"/>
      <c r="F133" s="34" t="str">
        <f>IF(D133="", "", IFERROR(INDEX('Tableau de bord'!C:C, MATCH(D133, 'Tableau de bord'!B:B, 0)), INDEX('Tableau de bord'!H:H, MATCH(D133, 'Tableau de bord'!G:G, 0))))</f>
        <v/>
      </c>
      <c r="G133" s="34" t="str">
        <f t="shared" si="2"/>
        <v/>
      </c>
      <c r="H133" s="80"/>
      <c r="I133" s="115"/>
    </row>
    <row r="134" spans="1:9" x14ac:dyDescent="0.3">
      <c r="A134" s="34"/>
      <c r="B134" s="34"/>
      <c r="C134" s="34"/>
      <c r="D134" s="34"/>
      <c r="E134" s="34"/>
      <c r="F134" s="34" t="str">
        <f>IF(D134="", "", IFERROR(INDEX('Tableau de bord'!C:C, MATCH(D134, 'Tableau de bord'!B:B, 0)), INDEX('Tableau de bord'!H:H, MATCH(D134, 'Tableau de bord'!G:G, 0))))</f>
        <v/>
      </c>
      <c r="G134" s="34" t="str">
        <f t="shared" si="2"/>
        <v/>
      </c>
      <c r="H134" s="80"/>
      <c r="I134" s="115"/>
    </row>
    <row r="135" spans="1:9" x14ac:dyDescent="0.3">
      <c r="A135" s="34"/>
      <c r="B135" s="34"/>
      <c r="C135" s="34"/>
      <c r="D135" s="34"/>
      <c r="E135" s="34"/>
      <c r="F135" s="34" t="str">
        <f>IF(D135="", "", IFERROR(INDEX('Tableau de bord'!C:C, MATCH(D135, 'Tableau de bord'!B:B, 0)), INDEX('Tableau de bord'!H:H, MATCH(D135, 'Tableau de bord'!G:G, 0))))</f>
        <v/>
      </c>
      <c r="G135" s="34" t="str">
        <f t="shared" si="2"/>
        <v/>
      </c>
      <c r="H135" s="80"/>
      <c r="I135" s="115"/>
    </row>
    <row r="136" spans="1:9" x14ac:dyDescent="0.3">
      <c r="A136" s="34"/>
      <c r="B136" s="34"/>
      <c r="C136" s="34"/>
      <c r="D136" s="34"/>
      <c r="E136" s="34"/>
      <c r="F136" s="34" t="str">
        <f>IF(D136="", "", IFERROR(INDEX('Tableau de bord'!C:C, MATCH(D136, 'Tableau de bord'!B:B, 0)), INDEX('Tableau de bord'!H:H, MATCH(D136, 'Tableau de bord'!G:G, 0))))</f>
        <v/>
      </c>
      <c r="G136" s="34" t="str">
        <f t="shared" si="2"/>
        <v/>
      </c>
      <c r="H136" s="80"/>
      <c r="I136" s="115"/>
    </row>
    <row r="137" spans="1:9" x14ac:dyDescent="0.3">
      <c r="A137" s="34"/>
      <c r="B137" s="34"/>
      <c r="C137" s="34"/>
      <c r="D137" s="34"/>
      <c r="E137" s="34"/>
      <c r="F137" s="34" t="str">
        <f>IF(D137="", "", IFERROR(INDEX('Tableau de bord'!C:C, MATCH(D137, 'Tableau de bord'!B:B, 0)), INDEX('Tableau de bord'!H:H, MATCH(D137, 'Tableau de bord'!G:G, 0))))</f>
        <v/>
      </c>
      <c r="G137" s="34" t="str">
        <f t="shared" si="2"/>
        <v/>
      </c>
      <c r="H137" s="80"/>
      <c r="I137" s="115"/>
    </row>
    <row r="138" spans="1:9" x14ac:dyDescent="0.3">
      <c r="A138" s="34"/>
      <c r="B138" s="34"/>
      <c r="C138" s="34"/>
      <c r="D138" s="34"/>
      <c r="E138" s="34"/>
      <c r="F138" s="34" t="str">
        <f>IF(D138="", "", IFERROR(INDEX('Tableau de bord'!C:C, MATCH(D138, 'Tableau de bord'!B:B, 0)), INDEX('Tableau de bord'!H:H, MATCH(D138, 'Tableau de bord'!G:G, 0))))</f>
        <v/>
      </c>
      <c r="G138" s="34" t="str">
        <f t="shared" si="2"/>
        <v/>
      </c>
      <c r="H138" s="80"/>
      <c r="I138" s="115"/>
    </row>
    <row r="139" spans="1:9" x14ac:dyDescent="0.3">
      <c r="A139" s="34"/>
      <c r="B139" s="34"/>
      <c r="C139" s="34"/>
      <c r="D139" s="34"/>
      <c r="E139" s="34"/>
      <c r="F139" s="34" t="str">
        <f>IF(D139="", "", IFERROR(INDEX('Tableau de bord'!C:C, MATCH(D139, 'Tableau de bord'!B:B, 0)), INDEX('Tableau de bord'!H:H, MATCH(D139, 'Tableau de bord'!G:G, 0))))</f>
        <v/>
      </c>
      <c r="G139" s="34" t="str">
        <f t="shared" si="2"/>
        <v/>
      </c>
      <c r="H139" s="80"/>
      <c r="I139" s="115"/>
    </row>
    <row r="140" spans="1:9" x14ac:dyDescent="0.3">
      <c r="A140" s="34"/>
      <c r="B140" s="34"/>
      <c r="C140" s="34"/>
      <c r="D140" s="34"/>
      <c r="E140" s="34"/>
      <c r="F140" s="34" t="str">
        <f>IF(D140="", "", IFERROR(INDEX('Tableau de bord'!C:C, MATCH(D140, 'Tableau de bord'!B:B, 0)), INDEX('Tableau de bord'!H:H, MATCH(D140, 'Tableau de bord'!G:G, 0))))</f>
        <v/>
      </c>
      <c r="G140" s="34" t="str">
        <f t="shared" si="2"/>
        <v/>
      </c>
      <c r="H140" s="80"/>
      <c r="I140" s="115"/>
    </row>
    <row r="141" spans="1:9" x14ac:dyDescent="0.3">
      <c r="A141" s="34"/>
      <c r="B141" s="34"/>
      <c r="C141" s="34"/>
      <c r="D141" s="34"/>
      <c r="E141" s="34"/>
      <c r="F141" s="34" t="str">
        <f>IF(D141="", "", IFERROR(INDEX('Tableau de bord'!C:C, MATCH(D141, 'Tableau de bord'!B:B, 0)), INDEX('Tableau de bord'!H:H, MATCH(D141, 'Tableau de bord'!G:G, 0))))</f>
        <v/>
      </c>
      <c r="G141" s="34" t="str">
        <f t="shared" si="2"/>
        <v/>
      </c>
      <c r="H141" s="80"/>
      <c r="I141" s="115"/>
    </row>
    <row r="142" spans="1:9" x14ac:dyDescent="0.3">
      <c r="A142" s="34"/>
      <c r="B142" s="34"/>
      <c r="C142" s="34"/>
      <c r="D142" s="34"/>
      <c r="E142" s="34"/>
      <c r="F142" s="34" t="str">
        <f>IF(D142="", "", IFERROR(INDEX('Tableau de bord'!C:C, MATCH(D142, 'Tableau de bord'!B:B, 0)), INDEX('Tableau de bord'!H:H, MATCH(D142, 'Tableau de bord'!G:G, 0))))</f>
        <v/>
      </c>
      <c r="G142" s="34" t="str">
        <f t="shared" si="2"/>
        <v/>
      </c>
      <c r="H142" s="80"/>
      <c r="I142" s="115"/>
    </row>
    <row r="143" spans="1:9" x14ac:dyDescent="0.3">
      <c r="A143" s="34"/>
      <c r="B143" s="34"/>
      <c r="C143" s="34"/>
      <c r="D143" s="34"/>
      <c r="E143" s="34"/>
      <c r="F143" s="34" t="str">
        <f>IF(D143="", "", IFERROR(INDEX('Tableau de bord'!C:C, MATCH(D143, 'Tableau de bord'!B:B, 0)), INDEX('Tableau de bord'!H:H, MATCH(D143, 'Tableau de bord'!G:G, 0))))</f>
        <v/>
      </c>
      <c r="G143" s="34" t="str">
        <f t="shared" si="2"/>
        <v/>
      </c>
      <c r="H143" s="80"/>
      <c r="I143" s="115"/>
    </row>
    <row r="144" spans="1:9" x14ac:dyDescent="0.3">
      <c r="A144" s="34"/>
      <c r="B144" s="34"/>
      <c r="C144" s="34"/>
      <c r="D144" s="34"/>
      <c r="E144" s="34"/>
      <c r="F144" s="34" t="str">
        <f>IF(D144="", "", IFERROR(INDEX('Tableau de bord'!C:C, MATCH(D144, 'Tableau de bord'!B:B, 0)), INDEX('Tableau de bord'!H:H, MATCH(D144, 'Tableau de bord'!G:G, 0))))</f>
        <v/>
      </c>
      <c r="G144" s="34" t="str">
        <f t="shared" si="2"/>
        <v/>
      </c>
      <c r="H144" s="80"/>
      <c r="I144" s="115"/>
    </row>
    <row r="145" spans="1:9" x14ac:dyDescent="0.3">
      <c r="A145" s="34"/>
      <c r="B145" s="34"/>
      <c r="C145" s="34"/>
      <c r="D145" s="34"/>
      <c r="E145" s="34"/>
      <c r="F145" s="34" t="str">
        <f>IF(D145="", "", IFERROR(INDEX('Tableau de bord'!C:C, MATCH(D145, 'Tableau de bord'!B:B, 0)), INDEX('Tableau de bord'!H:H, MATCH(D145, 'Tableau de bord'!G:G, 0))))</f>
        <v/>
      </c>
      <c r="G145" s="34" t="str">
        <f t="shared" si="2"/>
        <v/>
      </c>
      <c r="H145" s="80"/>
      <c r="I145" s="115"/>
    </row>
    <row r="146" spans="1:9" x14ac:dyDescent="0.3">
      <c r="A146" s="34"/>
      <c r="B146" s="34"/>
      <c r="C146" s="34"/>
      <c r="D146" s="34"/>
      <c r="E146" s="34"/>
      <c r="F146" s="34" t="str">
        <f>IF(D146="", "", IFERROR(INDEX('Tableau de bord'!C:C, MATCH(D146, 'Tableau de bord'!B:B, 0)), INDEX('Tableau de bord'!H:H, MATCH(D146, 'Tableau de bord'!G:G, 0))))</f>
        <v/>
      </c>
      <c r="G146" s="34" t="str">
        <f t="shared" si="2"/>
        <v/>
      </c>
      <c r="H146" s="80"/>
      <c r="I146" s="115"/>
    </row>
    <row r="147" spans="1:9" x14ac:dyDescent="0.3">
      <c r="A147" s="34"/>
      <c r="B147" s="34"/>
      <c r="C147" s="34"/>
      <c r="D147" s="34"/>
      <c r="E147" s="34"/>
      <c r="F147" s="34" t="str">
        <f>IF(D147="", "", IFERROR(INDEX('Tableau de bord'!C:C, MATCH(D147, 'Tableau de bord'!B:B, 0)), INDEX('Tableau de bord'!H:H, MATCH(D147, 'Tableau de bord'!G:G, 0))))</f>
        <v/>
      </c>
      <c r="G147" s="34" t="str">
        <f t="shared" si="2"/>
        <v/>
      </c>
      <c r="H147" s="80"/>
      <c r="I147" s="115"/>
    </row>
    <row r="148" spans="1:9" x14ac:dyDescent="0.3">
      <c r="A148" s="34"/>
      <c r="B148" s="34"/>
      <c r="C148" s="34"/>
      <c r="D148" s="34"/>
      <c r="E148" s="34"/>
      <c r="F148" s="34" t="str">
        <f>IF(D148="", "", IFERROR(INDEX('Tableau de bord'!C:C, MATCH(D148, 'Tableau de bord'!B:B, 0)), INDEX('Tableau de bord'!H:H, MATCH(D148, 'Tableau de bord'!G:G, 0))))</f>
        <v/>
      </c>
      <c r="G148" s="34" t="str">
        <f t="shared" si="2"/>
        <v/>
      </c>
      <c r="H148" s="80"/>
      <c r="I148" s="115"/>
    </row>
    <row r="149" spans="1:9" x14ac:dyDescent="0.3">
      <c r="A149" s="34"/>
      <c r="B149" s="34"/>
      <c r="C149" s="34"/>
      <c r="D149" s="34"/>
      <c r="E149" s="34"/>
      <c r="F149" s="34" t="str">
        <f>IF(D149="", "", IFERROR(INDEX('Tableau de bord'!C:C, MATCH(D149, 'Tableau de bord'!B:B, 0)), INDEX('Tableau de bord'!H:H, MATCH(D149, 'Tableau de bord'!G:G, 0))))</f>
        <v/>
      </c>
      <c r="G149" s="34" t="str">
        <f t="shared" si="2"/>
        <v/>
      </c>
      <c r="H149" s="80"/>
      <c r="I149" s="115"/>
    </row>
    <row r="150" spans="1:9" x14ac:dyDescent="0.3">
      <c r="A150" s="34"/>
      <c r="B150" s="34"/>
      <c r="C150" s="34"/>
      <c r="D150" s="34"/>
      <c r="E150" s="34"/>
      <c r="F150" s="34" t="str">
        <f>IF(D150="", "", IFERROR(INDEX('Tableau de bord'!C:C, MATCH(D150, 'Tableau de bord'!B:B, 0)), INDEX('Tableau de bord'!H:H, MATCH(D150, 'Tableau de bord'!G:G, 0))))</f>
        <v/>
      </c>
      <c r="G150" s="34" t="str">
        <f t="shared" si="2"/>
        <v/>
      </c>
      <c r="H150" s="80"/>
      <c r="I150" s="115"/>
    </row>
    <row r="151" spans="1:9" x14ac:dyDescent="0.3">
      <c r="A151" s="34"/>
      <c r="B151" s="34"/>
      <c r="C151" s="34"/>
      <c r="D151" s="34"/>
      <c r="E151" s="34"/>
      <c r="F151" s="34" t="str">
        <f>IF(D151="", "", IFERROR(INDEX('Tableau de bord'!C:C, MATCH(D151, 'Tableau de bord'!B:B, 0)), INDEX('Tableau de bord'!H:H, MATCH(D151, 'Tableau de bord'!G:G, 0))))</f>
        <v/>
      </c>
      <c r="G151" s="34" t="str">
        <f t="shared" si="2"/>
        <v/>
      </c>
      <c r="H151" s="80"/>
      <c r="I151" s="115"/>
    </row>
    <row r="152" spans="1:9" x14ac:dyDescent="0.3">
      <c r="A152" s="34"/>
      <c r="B152" s="34"/>
      <c r="C152" s="34"/>
      <c r="D152" s="34"/>
      <c r="E152" s="34"/>
      <c r="F152" s="34" t="str">
        <f>IF(D152="", "", IFERROR(INDEX('Tableau de bord'!C:C, MATCH(D152, 'Tableau de bord'!B:B, 0)), INDEX('Tableau de bord'!H:H, MATCH(D152, 'Tableau de bord'!G:G, 0))))</f>
        <v/>
      </c>
      <c r="G152" s="34" t="str">
        <f t="shared" si="2"/>
        <v/>
      </c>
      <c r="H152" s="80"/>
      <c r="I152" s="115"/>
    </row>
    <row r="153" spans="1:9" x14ac:dyDescent="0.3">
      <c r="A153" s="34"/>
      <c r="B153" s="34"/>
      <c r="C153" s="34"/>
      <c r="D153" s="34"/>
      <c r="E153" s="34"/>
      <c r="F153" s="34" t="str">
        <f>IF(D153="", "", IFERROR(INDEX('Tableau de bord'!C:C, MATCH(D153, 'Tableau de bord'!B:B, 0)), INDEX('Tableau de bord'!H:H, MATCH(D153, 'Tableau de bord'!G:G, 0))))</f>
        <v/>
      </c>
      <c r="G153" s="34" t="str">
        <f t="shared" si="2"/>
        <v/>
      </c>
      <c r="H153" s="80"/>
      <c r="I153" s="115"/>
    </row>
    <row r="154" spans="1:9" x14ac:dyDescent="0.3">
      <c r="A154" s="34"/>
      <c r="B154" s="34"/>
      <c r="C154" s="34"/>
      <c r="D154" s="34"/>
      <c r="E154" s="34"/>
      <c r="F154" s="34" t="str">
        <f>IF(D154="", "", IFERROR(INDEX('Tableau de bord'!C:C, MATCH(D154, 'Tableau de bord'!B:B, 0)), INDEX('Tableau de bord'!H:H, MATCH(D154, 'Tableau de bord'!G:G, 0))))</f>
        <v/>
      </c>
      <c r="G154" s="34" t="str">
        <f t="shared" si="2"/>
        <v/>
      </c>
      <c r="H154" s="80"/>
      <c r="I154" s="115"/>
    </row>
    <row r="155" spans="1:9" x14ac:dyDescent="0.3">
      <c r="A155" s="34"/>
      <c r="B155" s="34"/>
      <c r="C155" s="34"/>
      <c r="D155" s="34"/>
      <c r="E155" s="34"/>
      <c r="F155" s="34" t="str">
        <f>IF(D155="", "", IFERROR(INDEX('Tableau de bord'!C:C, MATCH(D155, 'Tableau de bord'!B:B, 0)), INDEX('Tableau de bord'!H:H, MATCH(D155, 'Tableau de bord'!G:G, 0))))</f>
        <v/>
      </c>
      <c r="G155" s="34" t="str">
        <f t="shared" si="2"/>
        <v/>
      </c>
      <c r="H155" s="80"/>
      <c r="I155" s="115"/>
    </row>
    <row r="156" spans="1:9" x14ac:dyDescent="0.3">
      <c r="A156" s="34"/>
      <c r="B156" s="34"/>
      <c r="C156" s="34"/>
      <c r="D156" s="34"/>
      <c r="E156" s="34"/>
      <c r="F156" s="34" t="str">
        <f>IF(D156="", "", IFERROR(INDEX('Tableau de bord'!C:C, MATCH(D156, 'Tableau de bord'!B:B, 0)), INDEX('Tableau de bord'!H:H, MATCH(D156, 'Tableau de bord'!G:G, 0))))</f>
        <v/>
      </c>
      <c r="G156" s="34" t="str">
        <f t="shared" si="2"/>
        <v/>
      </c>
      <c r="H156" s="80"/>
      <c r="I156" s="115"/>
    </row>
    <row r="157" spans="1:9" x14ac:dyDescent="0.3">
      <c r="A157" s="34"/>
      <c r="B157" s="34"/>
      <c r="C157" s="34"/>
      <c r="D157" s="34"/>
      <c r="E157" s="34"/>
      <c r="F157" s="34" t="str">
        <f>IF(D157="", "", IFERROR(INDEX('Tableau de bord'!C:C, MATCH(D157, 'Tableau de bord'!B:B, 0)), INDEX('Tableau de bord'!H:H, MATCH(D157, 'Tableau de bord'!G:G, 0))))</f>
        <v/>
      </c>
      <c r="G157" s="34" t="str">
        <f t="shared" si="2"/>
        <v/>
      </c>
      <c r="H157" s="80"/>
      <c r="I157" s="115"/>
    </row>
    <row r="158" spans="1:9" x14ac:dyDescent="0.3">
      <c r="A158" s="34"/>
      <c r="B158" s="34"/>
      <c r="C158" s="34"/>
      <c r="D158" s="34"/>
      <c r="E158" s="34"/>
      <c r="F158" s="34" t="str">
        <f>IF(D158="", "", IFERROR(INDEX('Tableau de bord'!C:C, MATCH(D158, 'Tableau de bord'!B:B, 0)), INDEX('Tableau de bord'!H:H, MATCH(D158, 'Tableau de bord'!G:G, 0))))</f>
        <v/>
      </c>
      <c r="G158" s="34" t="str">
        <f t="shared" si="2"/>
        <v/>
      </c>
      <c r="H158" s="80"/>
      <c r="I158" s="115"/>
    </row>
    <row r="159" spans="1:9" x14ac:dyDescent="0.3">
      <c r="A159" s="34"/>
      <c r="B159" s="34"/>
      <c r="C159" s="34"/>
      <c r="D159" s="34"/>
      <c r="E159" s="34"/>
      <c r="F159" s="34" t="str">
        <f>IF(D159="", "", IFERROR(INDEX('Tableau de bord'!C:C, MATCH(D159, 'Tableau de bord'!B:B, 0)), INDEX('Tableau de bord'!H:H, MATCH(D159, 'Tableau de bord'!G:G, 0))))</f>
        <v/>
      </c>
      <c r="G159" s="34" t="str">
        <f t="shared" si="2"/>
        <v/>
      </c>
      <c r="H159" s="80"/>
      <c r="I159" s="115"/>
    </row>
    <row r="160" spans="1:9" x14ac:dyDescent="0.3">
      <c r="A160" s="34"/>
      <c r="B160" s="34"/>
      <c r="C160" s="34"/>
      <c r="D160" s="34"/>
      <c r="E160" s="34"/>
      <c r="F160" s="34" t="str">
        <f>IF(D160="", "", IFERROR(INDEX('Tableau de bord'!C:C, MATCH(D160, 'Tableau de bord'!B:B, 0)), INDEX('Tableau de bord'!H:H, MATCH(D160, 'Tableau de bord'!G:G, 0))))</f>
        <v/>
      </c>
      <c r="G160" s="34" t="str">
        <f t="shared" si="2"/>
        <v/>
      </c>
      <c r="H160" s="80"/>
      <c r="I160" s="115"/>
    </row>
    <row r="161" spans="1:9" x14ac:dyDescent="0.3">
      <c r="A161" s="34"/>
      <c r="B161" s="34"/>
      <c r="C161" s="34"/>
      <c r="D161" s="34"/>
      <c r="E161" s="34"/>
      <c r="F161" s="34" t="str">
        <f>IF(D161="", "", IFERROR(INDEX('Tableau de bord'!C:C, MATCH(D161, 'Tableau de bord'!B:B, 0)), INDEX('Tableau de bord'!H:H, MATCH(D161, 'Tableau de bord'!G:G, 0))))</f>
        <v/>
      </c>
      <c r="G161" s="34" t="str">
        <f t="shared" si="2"/>
        <v/>
      </c>
      <c r="H161" s="80"/>
      <c r="I161" s="115"/>
    </row>
    <row r="162" spans="1:9" x14ac:dyDescent="0.3">
      <c r="A162" s="34"/>
      <c r="B162" s="34"/>
      <c r="C162" s="34"/>
      <c r="D162" s="34"/>
      <c r="E162" s="34"/>
      <c r="F162" s="34" t="str">
        <f>IF(D162="", "", IFERROR(INDEX('Tableau de bord'!C:C, MATCH(D162, 'Tableau de bord'!B:B, 0)), INDEX('Tableau de bord'!H:H, MATCH(D162, 'Tableau de bord'!G:G, 0))))</f>
        <v/>
      </c>
      <c r="G162" s="34" t="str">
        <f t="shared" si="2"/>
        <v/>
      </c>
      <c r="H162" s="80"/>
      <c r="I162" s="115"/>
    </row>
    <row r="163" spans="1:9" x14ac:dyDescent="0.3">
      <c r="A163" s="34"/>
      <c r="B163" s="34"/>
      <c r="C163" s="34"/>
      <c r="D163" s="34"/>
      <c r="E163" s="34"/>
      <c r="F163" s="34" t="str">
        <f>IF(D163="", "", IFERROR(INDEX('Tableau de bord'!C:C, MATCH(D163, 'Tableau de bord'!B:B, 0)), INDEX('Tableau de bord'!H:H, MATCH(D163, 'Tableau de bord'!G:G, 0))))</f>
        <v/>
      </c>
      <c r="G163" s="34" t="str">
        <f t="shared" si="2"/>
        <v/>
      </c>
      <c r="H163" s="80"/>
      <c r="I163" s="115"/>
    </row>
    <row r="164" spans="1:9" x14ac:dyDescent="0.3">
      <c r="A164" s="34"/>
      <c r="B164" s="34"/>
      <c r="C164" s="34"/>
      <c r="D164" s="34"/>
      <c r="E164" s="34"/>
      <c r="F164" s="34" t="str">
        <f>IF(D164="", "", IFERROR(INDEX('Tableau de bord'!C:C, MATCH(D164, 'Tableau de bord'!B:B, 0)), INDEX('Tableau de bord'!H:H, MATCH(D164, 'Tableau de bord'!G:G, 0))))</f>
        <v/>
      </c>
      <c r="G164" s="34" t="str">
        <f t="shared" si="2"/>
        <v/>
      </c>
      <c r="H164" s="80"/>
      <c r="I164" s="115"/>
    </row>
    <row r="165" spans="1:9" x14ac:dyDescent="0.3">
      <c r="A165" s="34"/>
      <c r="B165" s="34"/>
      <c r="C165" s="34"/>
      <c r="D165" s="34"/>
      <c r="E165" s="34"/>
      <c r="F165" s="34" t="str">
        <f>IF(D165="", "", IFERROR(INDEX('Tableau de bord'!C:C, MATCH(D165, 'Tableau de bord'!B:B, 0)), INDEX('Tableau de bord'!H:H, MATCH(D165, 'Tableau de bord'!G:G, 0))))</f>
        <v/>
      </c>
      <c r="G165" s="34" t="str">
        <f t="shared" si="2"/>
        <v/>
      </c>
      <c r="H165" s="80"/>
      <c r="I165" s="115"/>
    </row>
    <row r="166" spans="1:9" x14ac:dyDescent="0.3">
      <c r="A166" s="34"/>
      <c r="B166" s="34"/>
      <c r="C166" s="34"/>
      <c r="D166" s="34"/>
      <c r="E166" s="34"/>
      <c r="F166" s="34" t="str">
        <f>IF(D166="", "", IFERROR(INDEX('Tableau de bord'!C:C, MATCH(D166, 'Tableau de bord'!B:B, 0)), INDEX('Tableau de bord'!H:H, MATCH(D166, 'Tableau de bord'!G:G, 0))))</f>
        <v/>
      </c>
      <c r="G166" s="34" t="str">
        <f t="shared" si="2"/>
        <v/>
      </c>
      <c r="H166" s="80"/>
      <c r="I166" s="115"/>
    </row>
    <row r="167" spans="1:9" x14ac:dyDescent="0.3">
      <c r="A167" s="34"/>
      <c r="B167" s="34"/>
      <c r="C167" s="34"/>
      <c r="D167" s="34"/>
      <c r="E167" s="34"/>
      <c r="F167" s="34" t="str">
        <f>IF(D167="", "", IFERROR(INDEX('Tableau de bord'!C:C, MATCH(D167, 'Tableau de bord'!B:B, 0)), INDEX('Tableau de bord'!H:H, MATCH(D167, 'Tableau de bord'!G:G, 0))))</f>
        <v/>
      </c>
      <c r="G167" s="34" t="str">
        <f t="shared" si="2"/>
        <v/>
      </c>
      <c r="H167" s="80"/>
      <c r="I167" s="115"/>
    </row>
    <row r="168" spans="1:9" x14ac:dyDescent="0.3">
      <c r="A168" s="34"/>
      <c r="B168" s="34"/>
      <c r="C168" s="34"/>
      <c r="D168" s="34"/>
      <c r="E168" s="34"/>
      <c r="F168" s="34" t="str">
        <f>IF(D168="", "", IFERROR(INDEX('Tableau de bord'!C:C, MATCH(D168, 'Tableau de bord'!B:B, 0)), INDEX('Tableau de bord'!H:H, MATCH(D168, 'Tableau de bord'!G:G, 0))))</f>
        <v/>
      </c>
      <c r="G168" s="34" t="str">
        <f t="shared" si="2"/>
        <v/>
      </c>
      <c r="H168" s="80"/>
      <c r="I168" s="115"/>
    </row>
    <row r="169" spans="1:9" x14ac:dyDescent="0.3">
      <c r="A169" s="34"/>
      <c r="B169" s="34"/>
      <c r="C169" s="34"/>
      <c r="D169" s="34"/>
      <c r="E169" s="34"/>
      <c r="F169" s="34" t="str">
        <f>IF(D169="", "", IFERROR(INDEX('Tableau de bord'!C:C, MATCH(D169, 'Tableau de bord'!B:B, 0)), INDEX('Tableau de bord'!H:H, MATCH(D169, 'Tableau de bord'!G:G, 0))))</f>
        <v/>
      </c>
      <c r="G169" s="34" t="str">
        <f t="shared" si="2"/>
        <v/>
      </c>
      <c r="H169" s="80"/>
      <c r="I169" s="115"/>
    </row>
    <row r="170" spans="1:9" x14ac:dyDescent="0.3">
      <c r="A170" s="34"/>
      <c r="B170" s="34"/>
      <c r="C170" s="34"/>
      <c r="D170" s="34"/>
      <c r="E170" s="34"/>
      <c r="F170" s="34" t="str">
        <f>IF(D170="", "", IFERROR(INDEX('Tableau de bord'!C:C, MATCH(D170, 'Tableau de bord'!B:B, 0)), INDEX('Tableau de bord'!H:H, MATCH(D170, 'Tableau de bord'!G:G, 0))))</f>
        <v/>
      </c>
      <c r="G170" s="34" t="str">
        <f t="shared" si="2"/>
        <v/>
      </c>
      <c r="H170" s="80"/>
      <c r="I170" s="115"/>
    </row>
    <row r="171" spans="1:9" x14ac:dyDescent="0.3">
      <c r="A171" s="34"/>
      <c r="B171" s="34"/>
      <c r="C171" s="34"/>
      <c r="D171" s="34"/>
      <c r="E171" s="34"/>
      <c r="F171" s="34" t="str">
        <f>IF(D171="", "", IFERROR(INDEX('Tableau de bord'!C:C, MATCH(D171, 'Tableau de bord'!B:B, 0)), INDEX('Tableau de bord'!H:H, MATCH(D171, 'Tableau de bord'!G:G, 0))))</f>
        <v/>
      </c>
      <c r="G171" s="34" t="str">
        <f t="shared" si="2"/>
        <v/>
      </c>
      <c r="H171" s="80"/>
      <c r="I171" s="115"/>
    </row>
    <row r="172" spans="1:9" x14ac:dyDescent="0.3">
      <c r="A172" s="34"/>
      <c r="B172" s="34"/>
      <c r="C172" s="34"/>
      <c r="D172" s="34"/>
      <c r="E172" s="34"/>
      <c r="F172" s="34" t="str">
        <f>IF(D172="", "", IFERROR(INDEX('Tableau de bord'!C:C, MATCH(D172, 'Tableau de bord'!B:B, 0)), INDEX('Tableau de bord'!H:H, MATCH(D172, 'Tableau de bord'!G:G, 0))))</f>
        <v/>
      </c>
      <c r="G172" s="34" t="str">
        <f t="shared" si="2"/>
        <v/>
      </c>
      <c r="H172" s="80"/>
      <c r="I172" s="115"/>
    </row>
    <row r="173" spans="1:9" x14ac:dyDescent="0.3">
      <c r="A173" s="34"/>
      <c r="B173" s="34"/>
      <c r="C173" s="34"/>
      <c r="D173" s="34"/>
      <c r="E173" s="34"/>
      <c r="F173" s="34" t="str">
        <f>IF(D173="", "", IFERROR(INDEX('Tableau de bord'!C:C, MATCH(D173, 'Tableau de bord'!B:B, 0)), INDEX('Tableau de bord'!H:H, MATCH(D173, 'Tableau de bord'!G:G, 0))))</f>
        <v/>
      </c>
      <c r="G173" s="34" t="str">
        <f t="shared" si="2"/>
        <v/>
      </c>
      <c r="H173" s="80"/>
      <c r="I173" s="115"/>
    </row>
    <row r="174" spans="1:9" x14ac:dyDescent="0.3">
      <c r="A174" s="34"/>
      <c r="B174" s="34"/>
      <c r="C174" s="34"/>
      <c r="D174" s="34"/>
      <c r="E174" s="34"/>
      <c r="F174" s="34" t="str">
        <f>IF(D174="", "", IFERROR(INDEX('Tableau de bord'!C:C, MATCH(D174, 'Tableau de bord'!B:B, 0)), INDEX('Tableau de bord'!H:H, MATCH(D174, 'Tableau de bord'!G:G, 0))))</f>
        <v/>
      </c>
      <c r="G174" s="34" t="str">
        <f t="shared" si="2"/>
        <v/>
      </c>
      <c r="H174" s="80"/>
      <c r="I174" s="115"/>
    </row>
    <row r="175" spans="1:9" x14ac:dyDescent="0.3">
      <c r="A175" s="34"/>
      <c r="B175" s="34"/>
      <c r="C175" s="34"/>
      <c r="D175" s="34"/>
      <c r="E175" s="34"/>
      <c r="F175" s="34" t="str">
        <f>IF(D175="", "", IFERROR(INDEX('Tableau de bord'!C:C, MATCH(D175, 'Tableau de bord'!B:B, 0)), INDEX('Tableau de bord'!H:H, MATCH(D175, 'Tableau de bord'!G:G, 0))))</f>
        <v/>
      </c>
      <c r="G175" s="34" t="str">
        <f t="shared" si="2"/>
        <v/>
      </c>
      <c r="H175" s="80"/>
      <c r="I175" s="115"/>
    </row>
    <row r="176" spans="1:9" x14ac:dyDescent="0.3">
      <c r="A176" s="34"/>
      <c r="B176" s="34"/>
      <c r="C176" s="34"/>
      <c r="D176" s="34"/>
      <c r="E176" s="34"/>
      <c r="F176" s="34" t="str">
        <f>IF(D176="", "", IFERROR(INDEX('Tableau de bord'!C:C, MATCH(D176, 'Tableau de bord'!B:B, 0)), INDEX('Tableau de bord'!H:H, MATCH(D176, 'Tableau de bord'!G:G, 0))))</f>
        <v/>
      </c>
      <c r="G176" s="34" t="str">
        <f t="shared" si="2"/>
        <v/>
      </c>
      <c r="H176" s="80"/>
      <c r="I176" s="115"/>
    </row>
    <row r="177" spans="1:9" x14ac:dyDescent="0.3">
      <c r="A177" s="34"/>
      <c r="B177" s="34"/>
      <c r="C177" s="34"/>
      <c r="D177" s="34"/>
      <c r="E177" s="34"/>
      <c r="F177" s="34" t="str">
        <f>IF(D177="", "", IFERROR(INDEX('Tableau de bord'!C:C, MATCH(D177, 'Tableau de bord'!B:B, 0)), INDEX('Tableau de bord'!H:H, MATCH(D177, 'Tableau de bord'!G:G, 0))))</f>
        <v/>
      </c>
      <c r="G177" s="34" t="str">
        <f t="shared" si="2"/>
        <v/>
      </c>
      <c r="H177" s="80"/>
      <c r="I177" s="115"/>
    </row>
    <row r="178" spans="1:9" x14ac:dyDescent="0.3">
      <c r="A178" s="34"/>
      <c r="B178" s="34"/>
      <c r="C178" s="34"/>
      <c r="D178" s="34"/>
      <c r="E178" s="34"/>
      <c r="F178" s="34" t="str">
        <f>IF(D178="", "", IFERROR(INDEX('Tableau de bord'!C:C, MATCH(D178, 'Tableau de bord'!B:B, 0)), INDEX('Tableau de bord'!H:H, MATCH(D178, 'Tableau de bord'!G:G, 0))))</f>
        <v/>
      </c>
      <c r="G178" s="34" t="str">
        <f t="shared" si="2"/>
        <v/>
      </c>
      <c r="H178" s="80"/>
      <c r="I178" s="115"/>
    </row>
    <row r="179" spans="1:9" x14ac:dyDescent="0.3">
      <c r="A179" s="34"/>
      <c r="B179" s="34"/>
      <c r="C179" s="34"/>
      <c r="D179" s="34"/>
      <c r="E179" s="34"/>
      <c r="F179" s="34" t="str">
        <f>IF(D179="", "", IFERROR(INDEX('Tableau de bord'!C:C, MATCH(D179, 'Tableau de bord'!B:B, 0)), INDEX('Tableau de bord'!H:H, MATCH(D179, 'Tableau de bord'!G:G, 0))))</f>
        <v/>
      </c>
      <c r="G179" s="34" t="str">
        <f t="shared" si="2"/>
        <v/>
      </c>
      <c r="H179" s="80"/>
      <c r="I179" s="115"/>
    </row>
    <row r="180" spans="1:9" x14ac:dyDescent="0.3">
      <c r="A180" s="34"/>
      <c r="B180" s="34"/>
      <c r="C180" s="34"/>
      <c r="D180" s="34"/>
      <c r="E180" s="34"/>
      <c r="F180" s="34" t="str">
        <f>IF(D180="", "", IFERROR(INDEX('Tableau de bord'!C:C, MATCH(D180, 'Tableau de bord'!B:B, 0)), INDEX('Tableau de bord'!H:H, MATCH(D180, 'Tableau de bord'!G:G, 0))))</f>
        <v/>
      </c>
      <c r="G180" s="34" t="str">
        <f t="shared" si="2"/>
        <v/>
      </c>
      <c r="H180" s="80"/>
      <c r="I180" s="115"/>
    </row>
    <row r="181" spans="1:9" x14ac:dyDescent="0.3">
      <c r="A181" s="34"/>
      <c r="B181" s="34"/>
      <c r="C181" s="34"/>
      <c r="D181" s="34"/>
      <c r="E181" s="34"/>
      <c r="F181" s="34" t="str">
        <f>IF(D181="", "", IFERROR(INDEX('Tableau de bord'!C:C, MATCH(D181, 'Tableau de bord'!B:B, 0)), INDEX('Tableau de bord'!H:H, MATCH(D181, 'Tableau de bord'!G:G, 0))))</f>
        <v/>
      </c>
      <c r="G181" s="34" t="str">
        <f t="shared" si="2"/>
        <v/>
      </c>
      <c r="H181" s="80"/>
      <c r="I181" s="115"/>
    </row>
    <row r="182" spans="1:9" x14ac:dyDescent="0.3">
      <c r="A182" s="34"/>
      <c r="B182" s="34"/>
      <c r="C182" s="34"/>
      <c r="D182" s="34"/>
      <c r="E182" s="34"/>
      <c r="F182" s="34" t="str">
        <f>IF(D182="", "", IFERROR(INDEX('Tableau de bord'!C:C, MATCH(D182, 'Tableau de bord'!B:B, 0)), INDEX('Tableau de bord'!H:H, MATCH(D182, 'Tableau de bord'!G:G, 0))))</f>
        <v/>
      </c>
      <c r="G182" s="34" t="str">
        <f t="shared" si="2"/>
        <v/>
      </c>
      <c r="H182" s="80"/>
      <c r="I182" s="115"/>
    </row>
    <row r="183" spans="1:9" x14ac:dyDescent="0.3">
      <c r="A183" s="34"/>
      <c r="B183" s="34"/>
      <c r="C183" s="34"/>
      <c r="D183" s="34"/>
      <c r="E183" s="34"/>
      <c r="F183" s="34" t="str">
        <f>IF(D183="", "", IFERROR(INDEX('Tableau de bord'!C:C, MATCH(D183, 'Tableau de bord'!B:B, 0)), INDEX('Tableau de bord'!H:H, MATCH(D183, 'Tableau de bord'!G:G, 0))))</f>
        <v/>
      </c>
      <c r="G183" s="34" t="str">
        <f t="shared" si="2"/>
        <v/>
      </c>
      <c r="H183" s="80"/>
      <c r="I183" s="115"/>
    </row>
    <row r="184" spans="1:9" x14ac:dyDescent="0.3">
      <c r="A184" s="34"/>
      <c r="B184" s="34"/>
      <c r="C184" s="34"/>
      <c r="D184" s="34"/>
      <c r="E184" s="34"/>
      <c r="F184" s="34" t="str">
        <f>IF(D184="", "", IFERROR(INDEX('Tableau de bord'!C:C, MATCH(D184, 'Tableau de bord'!B:B, 0)), INDEX('Tableau de bord'!H:H, MATCH(D184, 'Tableau de bord'!G:G, 0))))</f>
        <v/>
      </c>
      <c r="G184" s="34" t="str">
        <f t="shared" si="2"/>
        <v/>
      </c>
      <c r="H184" s="80"/>
      <c r="I184" s="115"/>
    </row>
    <row r="185" spans="1:9" x14ac:dyDescent="0.3">
      <c r="A185" s="34"/>
      <c r="B185" s="34"/>
      <c r="C185" s="34"/>
      <c r="D185" s="34"/>
      <c r="E185" s="34"/>
      <c r="F185" s="34" t="str">
        <f>IF(D185="", "", IFERROR(INDEX('Tableau de bord'!C:C, MATCH(D185, 'Tableau de bord'!B:B, 0)), INDEX('Tableau de bord'!H:H, MATCH(D185, 'Tableau de bord'!G:G, 0))))</f>
        <v/>
      </c>
      <c r="G185" s="34" t="str">
        <f t="shared" si="2"/>
        <v/>
      </c>
      <c r="H185" s="80"/>
      <c r="I185" s="115"/>
    </row>
    <row r="186" spans="1:9" x14ac:dyDescent="0.3">
      <c r="A186" s="34"/>
      <c r="B186" s="34"/>
      <c r="C186" s="34"/>
      <c r="D186" s="34"/>
      <c r="E186" s="34"/>
      <c r="F186" s="34" t="str">
        <f>IF(D186="", "", IFERROR(INDEX('Tableau de bord'!C:C, MATCH(D186, 'Tableau de bord'!B:B, 0)), INDEX('Tableau de bord'!H:H, MATCH(D186, 'Tableau de bord'!G:G, 0))))</f>
        <v/>
      </c>
      <c r="G186" s="34" t="str">
        <f t="shared" si="2"/>
        <v/>
      </c>
      <c r="H186" s="80"/>
      <c r="I186" s="115"/>
    </row>
    <row r="187" spans="1:9" x14ac:dyDescent="0.3">
      <c r="A187" s="34"/>
      <c r="B187" s="34"/>
      <c r="C187" s="34"/>
      <c r="D187" s="34"/>
      <c r="E187" s="34"/>
      <c r="F187" s="34" t="str">
        <f>IF(D187="", "", IFERROR(INDEX('Tableau de bord'!C:C, MATCH(D187, 'Tableau de bord'!B:B, 0)), INDEX('Tableau de bord'!H:H, MATCH(D187, 'Tableau de bord'!G:G, 0))))</f>
        <v/>
      </c>
      <c r="G187" s="34" t="str">
        <f t="shared" si="2"/>
        <v/>
      </c>
      <c r="H187" s="80"/>
      <c r="I187" s="115"/>
    </row>
    <row r="188" spans="1:9" x14ac:dyDescent="0.3">
      <c r="A188" s="34"/>
      <c r="B188" s="34"/>
      <c r="C188" s="34"/>
      <c r="D188" s="34"/>
      <c r="E188" s="34"/>
      <c r="F188" s="34" t="str">
        <f>IF(D188="", "", IFERROR(INDEX('Tableau de bord'!C:C, MATCH(D188, 'Tableau de bord'!B:B, 0)), INDEX('Tableau de bord'!H:H, MATCH(D188, 'Tableau de bord'!G:G, 0))))</f>
        <v/>
      </c>
      <c r="G188" s="34" t="str">
        <f t="shared" si="2"/>
        <v/>
      </c>
      <c r="H188" s="80"/>
      <c r="I188" s="115"/>
    </row>
    <row r="189" spans="1:9" x14ac:dyDescent="0.3">
      <c r="A189" s="34"/>
      <c r="B189" s="34"/>
      <c r="C189" s="34"/>
      <c r="D189" s="34"/>
      <c r="E189" s="34"/>
      <c r="F189" s="34" t="str">
        <f>IF(D189="", "", IFERROR(INDEX('Tableau de bord'!C:C, MATCH(D189, 'Tableau de bord'!B:B, 0)), INDEX('Tableau de bord'!H:H, MATCH(D189, 'Tableau de bord'!G:G, 0))))</f>
        <v/>
      </c>
      <c r="G189" s="34" t="str">
        <f t="shared" si="2"/>
        <v/>
      </c>
      <c r="H189" s="80"/>
      <c r="I189" s="115"/>
    </row>
    <row r="190" spans="1:9" x14ac:dyDescent="0.3">
      <c r="A190" s="34"/>
      <c r="B190" s="34"/>
      <c r="C190" s="34"/>
      <c r="D190" s="34"/>
      <c r="E190" s="34"/>
      <c r="F190" s="34" t="str">
        <f>IF(D190="", "", IFERROR(INDEX('Tableau de bord'!C:C, MATCH(D190, 'Tableau de bord'!B:B, 0)), INDEX('Tableau de bord'!H:H, MATCH(D190, 'Tableau de bord'!G:G, 0))))</f>
        <v/>
      </c>
      <c r="G190" s="34" t="str">
        <f t="shared" si="2"/>
        <v/>
      </c>
      <c r="H190" s="80"/>
      <c r="I190" s="115"/>
    </row>
    <row r="191" spans="1:9" x14ac:dyDescent="0.3">
      <c r="A191" s="34"/>
      <c r="B191" s="34"/>
      <c r="C191" s="34"/>
      <c r="D191" s="34"/>
      <c r="E191" s="34"/>
      <c r="F191" s="34" t="str">
        <f>IF(D191="", "", IFERROR(INDEX('Tableau de bord'!C:C, MATCH(D191, 'Tableau de bord'!B:B, 0)), INDEX('Tableau de bord'!H:H, MATCH(D191, 'Tableau de bord'!G:G, 0))))</f>
        <v/>
      </c>
      <c r="G191" s="34" t="str">
        <f t="shared" si="2"/>
        <v/>
      </c>
      <c r="H191" s="80"/>
      <c r="I191" s="115"/>
    </row>
    <row r="192" spans="1:9" x14ac:dyDescent="0.3">
      <c r="A192" s="34"/>
      <c r="B192" s="34"/>
      <c r="C192" s="34"/>
      <c r="D192" s="34"/>
      <c r="E192" s="34"/>
      <c r="F192" s="34" t="str">
        <f>IF(D192="", "", IFERROR(INDEX('Tableau de bord'!C:C, MATCH(D192, 'Tableau de bord'!B:B, 0)), INDEX('Tableau de bord'!H:H, MATCH(D192, 'Tableau de bord'!G:G, 0))))</f>
        <v/>
      </c>
      <c r="G192" s="34" t="str">
        <f t="shared" si="2"/>
        <v/>
      </c>
      <c r="H192" s="80"/>
      <c r="I192" s="115"/>
    </row>
    <row r="193" spans="1:9" x14ac:dyDescent="0.3">
      <c r="A193" s="34"/>
      <c r="B193" s="34"/>
      <c r="C193" s="34"/>
      <c r="D193" s="34"/>
      <c r="E193" s="34"/>
      <c r="F193" s="34" t="str">
        <f>IF(D193="", "", IFERROR(INDEX('Tableau de bord'!C:C, MATCH(D193, 'Tableau de bord'!B:B, 0)), INDEX('Tableau de bord'!H:H, MATCH(D193, 'Tableau de bord'!G:G, 0))))</f>
        <v/>
      </c>
      <c r="G193" s="34" t="str">
        <f t="shared" si="2"/>
        <v/>
      </c>
      <c r="H193" s="80"/>
      <c r="I193" s="115"/>
    </row>
    <row r="194" spans="1:9" x14ac:dyDescent="0.3">
      <c r="A194" s="34"/>
      <c r="B194" s="34"/>
      <c r="C194" s="34"/>
      <c r="D194" s="34"/>
      <c r="E194" s="34"/>
      <c r="F194" s="34" t="str">
        <f>IF(D194="", "", IFERROR(INDEX('Tableau de bord'!C:C, MATCH(D194, 'Tableau de bord'!B:B, 0)), INDEX('Tableau de bord'!H:H, MATCH(D194, 'Tableau de bord'!G:G, 0))))</f>
        <v/>
      </c>
      <c r="G194" s="34" t="str">
        <f t="shared" si="2"/>
        <v/>
      </c>
      <c r="H194" s="80"/>
      <c r="I194" s="115"/>
    </row>
    <row r="195" spans="1:9" x14ac:dyDescent="0.3">
      <c r="A195" s="34"/>
      <c r="B195" s="34"/>
      <c r="C195" s="34"/>
      <c r="D195" s="34"/>
      <c r="E195" s="34"/>
      <c r="F195" s="34" t="str">
        <f>IF(D195="", "", IFERROR(INDEX('Tableau de bord'!C:C, MATCH(D195, 'Tableau de bord'!B:B, 0)), INDEX('Tableau de bord'!H:H, MATCH(D195, 'Tableau de bord'!G:G, 0))))</f>
        <v/>
      </c>
      <c r="G195" s="34" t="str">
        <f t="shared" ref="G195:G201" si="3">IF(OR(E195="", F195=""), "", E195*F195)</f>
        <v/>
      </c>
      <c r="H195" s="80"/>
      <c r="I195" s="115"/>
    </row>
    <row r="196" spans="1:9" x14ac:dyDescent="0.3">
      <c r="A196" s="34"/>
      <c r="B196" s="34"/>
      <c r="C196" s="34"/>
      <c r="D196" s="34"/>
      <c r="E196" s="34"/>
      <c r="F196" s="34" t="str">
        <f>IF(D196="", "", IFERROR(INDEX('Tableau de bord'!C:C, MATCH(D196, 'Tableau de bord'!B:B, 0)), INDEX('Tableau de bord'!H:H, MATCH(D196, 'Tableau de bord'!G:G, 0))))</f>
        <v/>
      </c>
      <c r="G196" s="34" t="str">
        <f t="shared" si="3"/>
        <v/>
      </c>
      <c r="H196" s="80"/>
      <c r="I196" s="115"/>
    </row>
    <row r="197" spans="1:9" x14ac:dyDescent="0.3">
      <c r="A197" s="34"/>
      <c r="B197" s="34"/>
      <c r="C197" s="34"/>
      <c r="D197" s="34"/>
      <c r="E197" s="34"/>
      <c r="F197" s="34" t="str">
        <f>IF(D197="", "", IFERROR(INDEX('Tableau de bord'!C:C, MATCH(D197, 'Tableau de bord'!B:B, 0)), INDEX('Tableau de bord'!H:H, MATCH(D197, 'Tableau de bord'!G:G, 0))))</f>
        <v/>
      </c>
      <c r="G197" s="34" t="str">
        <f t="shared" si="3"/>
        <v/>
      </c>
      <c r="H197" s="80"/>
      <c r="I197" s="115"/>
    </row>
    <row r="198" spans="1:9" x14ac:dyDescent="0.3">
      <c r="A198" s="34"/>
      <c r="B198" s="34"/>
      <c r="C198" s="34"/>
      <c r="D198" s="34"/>
      <c r="E198" s="34"/>
      <c r="F198" s="34" t="str">
        <f>IF(D198="", "", IFERROR(INDEX('Tableau de bord'!C:C, MATCH(D198, 'Tableau de bord'!B:B, 0)), INDEX('Tableau de bord'!H:H, MATCH(D198, 'Tableau de bord'!G:G, 0))))</f>
        <v/>
      </c>
      <c r="G198" s="34" t="str">
        <f t="shared" si="3"/>
        <v/>
      </c>
      <c r="H198" s="80"/>
      <c r="I198" s="115"/>
    </row>
    <row r="199" spans="1:9" x14ac:dyDescent="0.3">
      <c r="A199" s="34"/>
      <c r="B199" s="34"/>
      <c r="C199" s="34"/>
      <c r="D199" s="34"/>
      <c r="E199" s="34"/>
      <c r="F199" s="34" t="str">
        <f>IF(D199="", "", IFERROR(INDEX('Tableau de bord'!C:C, MATCH(D199, 'Tableau de bord'!B:B, 0)), INDEX('Tableau de bord'!H:H, MATCH(D199, 'Tableau de bord'!G:G, 0))))</f>
        <v/>
      </c>
      <c r="G199" s="34" t="str">
        <f t="shared" si="3"/>
        <v/>
      </c>
      <c r="H199" s="80"/>
      <c r="I199" s="115"/>
    </row>
    <row r="200" spans="1:9" x14ac:dyDescent="0.3">
      <c r="A200" s="34"/>
      <c r="B200" s="34"/>
      <c r="C200" s="34"/>
      <c r="D200" s="34"/>
      <c r="E200" s="34"/>
      <c r="F200" s="34" t="str">
        <f>IF(D200="", "", IFERROR(INDEX('Tableau de bord'!C:C, MATCH(D200, 'Tableau de bord'!B:B, 0)), INDEX('Tableau de bord'!H:H, MATCH(D200, 'Tableau de bord'!G:G, 0))))</f>
        <v/>
      </c>
      <c r="G200" s="34" t="str">
        <f t="shared" si="3"/>
        <v/>
      </c>
      <c r="H200" s="80"/>
      <c r="I200" s="115"/>
    </row>
    <row r="201" spans="1:9" ht="15" thickBot="1" x14ac:dyDescent="0.35">
      <c r="A201" s="59"/>
      <c r="B201" s="59"/>
      <c r="C201" s="59"/>
      <c r="D201" s="59"/>
      <c r="E201" s="59"/>
      <c r="F201" s="59" t="str">
        <f>IF(D201="", "", IFERROR(INDEX('Tableau de bord'!C:C, MATCH(D201, 'Tableau de bord'!B:B, 0)), INDEX('Tableau de bord'!H:H, MATCH(D201, 'Tableau de bord'!G:G, 0))))</f>
        <v/>
      </c>
      <c r="G201" s="34" t="str">
        <f t="shared" si="3"/>
        <v/>
      </c>
      <c r="H201" s="80"/>
      <c r="I201" s="115"/>
    </row>
    <row r="202" spans="1:9" ht="15" hidden="1" thickTop="1" x14ac:dyDescent="0.3"/>
    <row r="403" spans="1:6" ht="15.6" hidden="1" thickTop="1" thickBot="1" x14ac:dyDescent="0.35">
      <c r="A403" s="70"/>
      <c r="B403" s="70"/>
      <c r="C403" s="70"/>
      <c r="D403" s="70"/>
      <c r="E403" s="70"/>
      <c r="F403" s="70"/>
    </row>
    <row r="404" spans="1:6" ht="15" hidden="1" thickTop="1" x14ac:dyDescent="0.3"/>
  </sheetData>
  <mergeCells count="1">
    <mergeCell ref="I1:I20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AccederMenu">
          <controlPr defaultSize="0" autoLine="0" r:id="rId4">
            <anchor moveWithCells="1">
              <from>
                <xdr:col>8</xdr:col>
                <xdr:colOff>91440</xdr:colOff>
                <xdr:row>0</xdr:row>
                <xdr:rowOff>60960</xdr:rowOff>
              </from>
              <to>
                <xdr:col>8</xdr:col>
                <xdr:colOff>1531620</xdr:colOff>
                <xdr:row>4</xdr:row>
                <xdr:rowOff>22860</xdr:rowOff>
              </to>
            </anchor>
          </controlPr>
        </control>
      </mc:Choice>
      <mc:Fallback>
        <control shapeId="7169" r:id="rId3" name="Acceder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25A63-BDF9-4D01-952B-66D17D6EC2BA}">
  <sheetPr codeName="Feuil4"/>
  <dimension ref="A1:W66"/>
  <sheetViews>
    <sheetView topLeftCell="A9" zoomScale="40" zoomScaleNormal="40" workbookViewId="0">
      <selection activeCell="O62" sqref="O62"/>
    </sheetView>
  </sheetViews>
  <sheetFormatPr baseColWidth="10" defaultColWidth="0" defaultRowHeight="14.4" zeroHeight="1" x14ac:dyDescent="0.3"/>
  <cols>
    <col min="1" max="1" width="11.5546875" style="34" customWidth="1"/>
    <col min="2" max="2" width="9.33203125" style="34" customWidth="1"/>
    <col min="3" max="23" width="11.5546875" style="34" customWidth="1"/>
    <col min="24" max="16384" width="11.5546875" style="34" hidden="1"/>
  </cols>
  <sheetData>
    <row r="1" spans="1:21" ht="31.2" hidden="1" x14ac:dyDescent="0.6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</row>
    <row r="2" spans="1:21" ht="31.2" hidden="1" x14ac:dyDescent="0.6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</row>
    <row r="3" spans="1:21" ht="31.8" thickBot="1" x14ac:dyDescent="0.6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</row>
    <row r="4" spans="1:21" ht="31.2" x14ac:dyDescent="0.6">
      <c r="A4" s="82"/>
      <c r="B4" s="116" t="s">
        <v>57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8"/>
      <c r="P4" s="82"/>
      <c r="Q4" s="82"/>
      <c r="R4" s="82"/>
      <c r="S4" s="82"/>
      <c r="T4" s="82"/>
      <c r="U4" s="82"/>
    </row>
    <row r="5" spans="1:21" ht="31.2" x14ac:dyDescent="0.6">
      <c r="A5" s="82"/>
      <c r="B5" s="119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1"/>
      <c r="P5" s="82"/>
      <c r="Q5" s="82"/>
      <c r="R5" s="82"/>
      <c r="S5" s="82"/>
      <c r="T5" s="82"/>
      <c r="U5" s="82"/>
    </row>
    <row r="6" spans="1:21" ht="31.8" thickBot="1" x14ac:dyDescent="0.65">
      <c r="A6" s="82"/>
      <c r="B6" s="122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4"/>
      <c r="P6" s="82"/>
      <c r="Q6" s="82"/>
      <c r="R6" s="82"/>
      <c r="S6" s="82"/>
      <c r="T6" s="82"/>
      <c r="U6" s="82"/>
    </row>
    <row r="7" spans="1:21" ht="31.8" thickBot="1" x14ac:dyDescent="0.65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</row>
    <row r="8" spans="1:21" x14ac:dyDescent="0.3">
      <c r="B8" s="126" t="s">
        <v>58</v>
      </c>
      <c r="C8" s="127"/>
      <c r="D8" s="127"/>
      <c r="E8" s="127"/>
      <c r="F8" s="83"/>
      <c r="G8" s="83"/>
      <c r="H8" s="83"/>
      <c r="I8" s="84"/>
    </row>
    <row r="9" spans="1:21" x14ac:dyDescent="0.3">
      <c r="B9" s="128"/>
      <c r="C9" s="129"/>
      <c r="D9" s="129"/>
      <c r="E9" s="129"/>
      <c r="F9" s="85"/>
      <c r="G9" s="85"/>
      <c r="H9" s="85"/>
      <c r="I9" s="86"/>
    </row>
    <row r="10" spans="1:21" ht="18" x14ac:dyDescent="0.3">
      <c r="B10" s="87" t="s">
        <v>59</v>
      </c>
      <c r="C10" s="88"/>
      <c r="D10" s="88"/>
      <c r="E10" s="88"/>
      <c r="F10" s="88"/>
      <c r="G10" s="88"/>
      <c r="H10" s="88"/>
      <c r="I10" s="89"/>
    </row>
    <row r="11" spans="1:21" ht="15" customHeight="1" x14ac:dyDescent="0.3">
      <c r="B11" s="87" t="s">
        <v>60</v>
      </c>
      <c r="C11" s="88"/>
      <c r="D11" s="88"/>
      <c r="E11" s="88"/>
      <c r="F11" s="88"/>
      <c r="G11" s="88"/>
      <c r="H11" s="88"/>
      <c r="I11" s="86"/>
    </row>
    <row r="12" spans="1:21" ht="18" x14ac:dyDescent="0.3">
      <c r="B12" s="87" t="s">
        <v>61</v>
      </c>
      <c r="C12" s="88"/>
      <c r="D12" s="88"/>
      <c r="E12" s="88"/>
      <c r="F12" s="88"/>
      <c r="G12" s="88"/>
      <c r="H12" s="88"/>
      <c r="I12" s="86"/>
    </row>
    <row r="13" spans="1:21" ht="18" x14ac:dyDescent="0.3">
      <c r="B13" s="87" t="s">
        <v>62</v>
      </c>
      <c r="C13" s="88"/>
      <c r="D13" s="88"/>
      <c r="E13" s="88"/>
      <c r="F13" s="88"/>
      <c r="G13" s="88"/>
      <c r="H13" s="88"/>
      <c r="I13" s="86"/>
    </row>
    <row r="14" spans="1:21" ht="15" thickBot="1" x14ac:dyDescent="0.35">
      <c r="B14" s="130"/>
      <c r="C14" s="131"/>
      <c r="D14" s="131"/>
      <c r="E14" s="131"/>
      <c r="F14" s="131"/>
      <c r="G14" s="131"/>
      <c r="H14" s="131"/>
      <c r="I14" s="90"/>
    </row>
    <row r="15" spans="1:21" x14ac:dyDescent="0.3">
      <c r="B15" s="132"/>
      <c r="C15" s="132"/>
      <c r="D15" s="132"/>
      <c r="E15" s="132"/>
      <c r="F15" s="132"/>
      <c r="G15" s="132"/>
      <c r="H15" s="132"/>
    </row>
    <row r="16" spans="1:21" ht="23.4" x14ac:dyDescent="0.45">
      <c r="B16" s="91" t="s">
        <v>63</v>
      </c>
    </row>
    <row r="17" spans="2:20" x14ac:dyDescent="0.3"/>
    <row r="18" spans="2:20" x14ac:dyDescent="0.3">
      <c r="B18" s="133" t="s">
        <v>64</v>
      </c>
      <c r="C18" s="134"/>
      <c r="D18" s="134"/>
      <c r="E18" s="134"/>
      <c r="F18" s="134"/>
      <c r="G18" s="135"/>
      <c r="M18" s="142" t="s">
        <v>65</v>
      </c>
      <c r="N18" s="143"/>
      <c r="O18" s="143"/>
      <c r="P18" s="143"/>
      <c r="Q18" s="143"/>
      <c r="R18" s="144"/>
    </row>
    <row r="19" spans="2:20" x14ac:dyDescent="0.3">
      <c r="B19" s="136"/>
      <c r="C19" s="137"/>
      <c r="D19" s="137"/>
      <c r="E19" s="137"/>
      <c r="F19" s="137"/>
      <c r="G19" s="138"/>
      <c r="M19" s="145"/>
      <c r="N19" s="146"/>
      <c r="O19" s="146"/>
      <c r="P19" s="146"/>
      <c r="Q19" s="146"/>
      <c r="R19" s="147"/>
    </row>
    <row r="20" spans="2:20" x14ac:dyDescent="0.3">
      <c r="B20" s="139"/>
      <c r="C20" s="140"/>
      <c r="D20" s="140"/>
      <c r="E20" s="140"/>
      <c r="F20" s="140"/>
      <c r="G20" s="141"/>
      <c r="M20" s="148"/>
      <c r="N20" s="149"/>
      <c r="O20" s="149"/>
      <c r="P20" s="149"/>
      <c r="Q20" s="149"/>
      <c r="R20" s="150"/>
    </row>
    <row r="21" spans="2:20" x14ac:dyDescent="0.3"/>
    <row r="22" spans="2:20" x14ac:dyDescent="0.3"/>
    <row r="23" spans="2:20" x14ac:dyDescent="0.3"/>
    <row r="24" spans="2:20" x14ac:dyDescent="0.3"/>
    <row r="25" spans="2:20" x14ac:dyDescent="0.3"/>
    <row r="26" spans="2:20" x14ac:dyDescent="0.3"/>
    <row r="27" spans="2:20" ht="15.6" x14ac:dyDescent="0.3">
      <c r="T27" s="92"/>
    </row>
    <row r="28" spans="2:20" ht="15.6" x14ac:dyDescent="0.3">
      <c r="T28" s="92" t="s">
        <v>66</v>
      </c>
    </row>
    <row r="29" spans="2:20" x14ac:dyDescent="0.3"/>
    <row r="30" spans="2:20" ht="15.6" x14ac:dyDescent="0.3">
      <c r="T30" s="92"/>
    </row>
    <row r="31" spans="2:20" ht="15.6" x14ac:dyDescent="0.3">
      <c r="I31" s="34" t="s">
        <v>67</v>
      </c>
      <c r="T31" s="92"/>
    </row>
    <row r="32" spans="2:20" ht="15.6" x14ac:dyDescent="0.3">
      <c r="T32" s="92" t="s">
        <v>68</v>
      </c>
    </row>
    <row r="33" spans="9:20" ht="15.6" x14ac:dyDescent="0.3">
      <c r="T33" s="92"/>
    </row>
    <row r="34" spans="9:20" ht="15.6" x14ac:dyDescent="0.3">
      <c r="I34" s="92"/>
      <c r="T34" s="92"/>
    </row>
    <row r="35" spans="9:20" ht="15.6" x14ac:dyDescent="0.3">
      <c r="I35" s="92" t="s">
        <v>69</v>
      </c>
      <c r="T35" s="92"/>
    </row>
    <row r="36" spans="9:20" ht="15.6" x14ac:dyDescent="0.3">
      <c r="T36" s="92"/>
    </row>
    <row r="37" spans="9:20" ht="15.6" x14ac:dyDescent="0.3">
      <c r="T37" s="92" t="s">
        <v>70</v>
      </c>
    </row>
    <row r="38" spans="9:20" ht="15.6" x14ac:dyDescent="0.3">
      <c r="T38" s="92"/>
    </row>
    <row r="39" spans="9:20" ht="15.6" x14ac:dyDescent="0.3">
      <c r="I39" s="92" t="s">
        <v>71</v>
      </c>
      <c r="T39" s="92"/>
    </row>
    <row r="40" spans="9:20" ht="15.6" x14ac:dyDescent="0.3">
      <c r="T40" s="92"/>
    </row>
    <row r="41" spans="9:20" ht="15.6" x14ac:dyDescent="0.3">
      <c r="T41" s="92" t="s">
        <v>72</v>
      </c>
    </row>
    <row r="42" spans="9:20" x14ac:dyDescent="0.3"/>
    <row r="43" spans="9:20" ht="15.6" x14ac:dyDescent="0.3">
      <c r="I43" s="92" t="s">
        <v>73</v>
      </c>
    </row>
    <row r="44" spans="9:20" x14ac:dyDescent="0.3"/>
    <row r="45" spans="9:20" x14ac:dyDescent="0.3"/>
    <row r="46" spans="9:20" x14ac:dyDescent="0.3"/>
    <row r="47" spans="9:20" x14ac:dyDescent="0.3"/>
    <row r="48" spans="9:20" x14ac:dyDescent="0.3"/>
    <row r="49" spans="2:18" x14ac:dyDescent="0.3"/>
    <row r="50" spans="2:18" x14ac:dyDescent="0.3"/>
    <row r="51" spans="2:18" x14ac:dyDescent="0.3"/>
    <row r="52" spans="2:18" x14ac:dyDescent="0.3"/>
    <row r="53" spans="2:18" x14ac:dyDescent="0.3"/>
    <row r="54" spans="2:18" x14ac:dyDescent="0.3"/>
    <row r="55" spans="2:18" x14ac:dyDescent="0.3"/>
    <row r="56" spans="2:18" ht="15.6" x14ac:dyDescent="0.3">
      <c r="B56" s="92" t="s">
        <v>74</v>
      </c>
      <c r="F56" s="92" t="s">
        <v>75</v>
      </c>
      <c r="M56" s="92" t="s">
        <v>74</v>
      </c>
      <c r="P56" s="125" t="s">
        <v>76</v>
      </c>
      <c r="Q56" s="125"/>
      <c r="R56" s="125"/>
    </row>
    <row r="57" spans="2:18" x14ac:dyDescent="0.3">
      <c r="P57" s="125"/>
      <c r="Q57" s="125"/>
      <c r="R57" s="125"/>
    </row>
    <row r="58" spans="2:18" x14ac:dyDescent="0.3">
      <c r="P58" s="125"/>
      <c r="Q58" s="125"/>
      <c r="R58" s="125"/>
    </row>
    <row r="59" spans="2:18" x14ac:dyDescent="0.3"/>
    <row r="60" spans="2:18" x14ac:dyDescent="0.3"/>
    <row r="61" spans="2:18" ht="21" x14ac:dyDescent="0.4">
      <c r="B61" s="93" t="s">
        <v>77</v>
      </c>
    </row>
    <row r="62" spans="2:18" ht="21" x14ac:dyDescent="0.4">
      <c r="B62" s="94" t="s">
        <v>78</v>
      </c>
    </row>
    <row r="63" spans="2:18" ht="21" x14ac:dyDescent="0.4">
      <c r="B63" s="94" t="s">
        <v>79</v>
      </c>
    </row>
    <row r="64" spans="2:18" ht="21" x14ac:dyDescent="0.4">
      <c r="B64" s="94" t="s">
        <v>80</v>
      </c>
    </row>
    <row r="65" spans="2:2" ht="21" x14ac:dyDescent="0.4">
      <c r="B65" s="94" t="s">
        <v>81</v>
      </c>
    </row>
    <row r="66" spans="2:2" x14ac:dyDescent="0.3"/>
  </sheetData>
  <sheetProtection sheet="1" objects="1" scenarios="1"/>
  <mergeCells count="7">
    <mergeCell ref="B4:O6"/>
    <mergeCell ref="P56:R58"/>
    <mergeCell ref="B8:E9"/>
    <mergeCell ref="B14:H14"/>
    <mergeCell ref="B15:H15"/>
    <mergeCell ref="B18:G20"/>
    <mergeCell ref="M18:R2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AccederMenu">
          <controlPr defaultSize="0" autoLine="0" r:id="rId4">
            <anchor moveWithCells="1">
              <from>
                <xdr:col>19</xdr:col>
                <xdr:colOff>289560</xdr:colOff>
                <xdr:row>60</xdr:row>
                <xdr:rowOff>213360</xdr:rowOff>
              </from>
              <to>
                <xdr:col>22</xdr:col>
                <xdr:colOff>137160</xdr:colOff>
                <xdr:row>64</xdr:row>
                <xdr:rowOff>60960</xdr:rowOff>
              </to>
            </anchor>
          </controlPr>
        </control>
      </mc:Choice>
      <mc:Fallback>
        <control shapeId="8193" r:id="rId3" name="AccederMenu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f60035-bfe2-4b0a-98b4-dc4d9da4839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709D1CC207074191644AE104E0009F" ma:contentTypeVersion="10" ma:contentTypeDescription="Crée un document." ma:contentTypeScope="" ma:versionID="698888651206bf529ae055d8702320c2">
  <xsd:schema xmlns:xsd="http://www.w3.org/2001/XMLSchema" xmlns:xs="http://www.w3.org/2001/XMLSchema" xmlns:p="http://schemas.microsoft.com/office/2006/metadata/properties" xmlns:ns3="e9f60035-bfe2-4b0a-98b4-dc4d9da4839c" targetNamespace="http://schemas.microsoft.com/office/2006/metadata/properties" ma:root="true" ma:fieldsID="9405396285da9ac73346cee8dd371075" ns3:_="">
    <xsd:import namespace="e9f60035-bfe2-4b0a-98b4-dc4d9da4839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f60035-bfe2-4b0a-98b4-dc4d9da4839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C8578A-C0E6-4871-BB25-BD292EC452C8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e9f60035-bfe2-4b0a-98b4-dc4d9da4839c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4FEF32C-CC66-4490-91EE-2934B31380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f60035-bfe2-4b0a-98b4-dc4d9da483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47271D-F433-4F40-9DA2-0DCFD8760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Tableau de bord</vt:lpstr>
      <vt:lpstr>Base de données</vt:lpstr>
      <vt:lpstr>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 Ravonneaux</dc:creator>
  <cp:lastModifiedBy>Mathieu Lopes Moreira</cp:lastModifiedBy>
  <dcterms:created xsi:type="dcterms:W3CDTF">2024-12-12T08:55:04Z</dcterms:created>
  <dcterms:modified xsi:type="dcterms:W3CDTF">2025-01-04T19:51:55Z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0x010100AE709D1CC207074191644AE104E0009F</vt:lpwstr>
  </property>
</Properties>
</file>